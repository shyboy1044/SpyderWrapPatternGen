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rrickm\Desktop\Dropbox\Spyder Files\"/>
    </mc:Choice>
  </mc:AlternateContent>
  <bookViews>
    <workbookView xWindow="0" yWindow="0" windowWidth="25200" windowHeight="11775" activeTab="2"/>
  </bookViews>
  <sheets>
    <sheet name="3&quot; " sheetId="1" r:id="rId1"/>
    <sheet name="Sheet2" sheetId="2" r:id="rId2"/>
    <sheet name="4&quot;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  <c r="F7" i="3"/>
  <c r="N2" i="3"/>
  <c r="L2" i="3"/>
  <c r="K2" i="3"/>
  <c r="I2" i="3"/>
  <c r="C3" i="3" l="1"/>
  <c r="F3" i="3"/>
  <c r="A9" i="1"/>
  <c r="F7" i="1"/>
  <c r="K2" i="1"/>
  <c r="I2" i="1" s="1"/>
  <c r="L2" i="1" s="1"/>
  <c r="N2" i="1" l="1"/>
  <c r="C3" i="1"/>
  <c r="F3" i="1" l="1"/>
</calcChain>
</file>

<file path=xl/comments1.xml><?xml version="1.0" encoding="utf-8"?>
<comments xmlns="http://schemas.openxmlformats.org/spreadsheetml/2006/main">
  <authors>
    <author>Derrick Miller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Derrick Miller: Percentage of the diameter of the shell.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Percentage of new diameter of the shell for the Y axis.  This is here to cause the tape to wrap slightly off center if needed so the tape doesn't cross at the same point every time.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Diameter added to the shell for every wrap to compensate for shell growth.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much of the circumference is used the for the kick step.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Percentage of the Y axis to the X axis in the kick step.  Lower % causes more kick, higher % causes less kick.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Calculated circumference after Diameter % increase
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far X axis travels on the kick step.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far Y axis travels on the kick step
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Length of the first wrap for X and Y axis. Used for a reference in troubleshooting wrapping problems.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Feed rate of the steppers in inches/min, output in the 4th line of the output code F#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% of diameter added to the kick steps to change the crossing point of the layers.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Derrick Miller:  Feed rate of the steppers during the burnish stage.  Tape is wrapped at a slower rate, then once the pattern finishes, the tape is cut and the ball gets another high speed roll to pack all of the tape down.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many times the tape is kicked before the overwrap is added into the kick pattern.
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many times the layers are repeated before the burn process.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Output from the last line of the est. Tape feet column before the burn process starts.
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Macro command in the CNC software to reset the Steppers to zero before the program runs.
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Set the starting position and feed rate of the steppers.
</t>
        </r>
      </text>
    </comment>
  </commentList>
</comments>
</file>

<file path=xl/comments2.xml><?xml version="1.0" encoding="utf-8"?>
<comments xmlns="http://schemas.openxmlformats.org/spreadsheetml/2006/main">
  <authors>
    <author>Derrick Miller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Derrick Miller: Percentage of the diameter of the shell.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Percentage of new diameter of the shell for the Y axis.  This is here to cause the tape to wrap slightly off center if needed so the tape doesn't cross at the same point every time.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Diameter added to the shell for every wrap to compensate for shell growth.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much of the circumference is used the for the kick step.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Percentage of the Y axis to the X axis in the kick step.  Lower % causes more kick, higher % causes less kick.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Calculated circumference after Diameter % increase
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far X axis travels on the kick step.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far Y axis travels on the kick step
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Length of the first wrap for X and Y axis. Used for a reference in troubleshooting wrapping problems.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Feed rate of the steppers in inches/min, output in the 4th line of the output code F#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% of diameter added to the kick steps to change the crossing point of the layers.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Derrick Miller:  Feed rate of the steppers during the burnish stage.  Tape is wrapped at a slower rate, then once the pattern finishes, the tape is cut and the ball gets another high speed roll to pack all of the tape down.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many times the tape is kicked before the overwrap is added into the kick pattern.
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How many times the layers are repeated before the burn process.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Output from the last line of the est. Tape feet column before the burn process starts.
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Macro command in the CNC software to reset the Steppers to zero before the program runs.
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Derrick Miller:</t>
        </r>
        <r>
          <rPr>
            <sz val="9"/>
            <color indexed="81"/>
            <rFont val="Tahoma"/>
            <family val="2"/>
          </rPr>
          <t xml:space="preserve">
Set the starting position and feed rate of the steppers.
</t>
        </r>
      </text>
    </comment>
  </commentList>
</comments>
</file>

<file path=xl/sharedStrings.xml><?xml version="1.0" encoding="utf-8"?>
<sst xmlns="http://schemas.openxmlformats.org/spreadsheetml/2006/main" count="2158" uniqueCount="1339">
  <si>
    <t>G-Code Output</t>
  </si>
  <si>
    <t>Diameter</t>
  </si>
  <si>
    <t>Diameter %</t>
  </si>
  <si>
    <t>Y-axis %</t>
  </si>
  <si>
    <t>Circ +</t>
  </si>
  <si>
    <t>Total Kick %</t>
  </si>
  <si>
    <t>Kick Ratio %</t>
  </si>
  <si>
    <t>X Axis Circ</t>
  </si>
  <si>
    <t>Offset X</t>
  </si>
  <si>
    <t>Y Axis Circ</t>
  </si>
  <si>
    <t>Offset Y</t>
  </si>
  <si>
    <t>Tape Feed Rate</t>
  </si>
  <si>
    <t>Overwrap %</t>
  </si>
  <si>
    <t>Burn Feed Rate</t>
  </si>
  <si>
    <t>Wraps Per Layer</t>
  </si>
  <si>
    <t>F30</t>
  </si>
  <si>
    <t>Total layers</t>
  </si>
  <si>
    <t>M7</t>
  </si>
  <si>
    <t>Total Tape Feet</t>
  </si>
  <si>
    <t>M2500</t>
  </si>
  <si>
    <t>est. Tape Feet</t>
  </si>
  <si>
    <t>X Axis Travel</t>
  </si>
  <si>
    <t>Y Axis Travel</t>
  </si>
  <si>
    <t>Wrap 1</t>
  </si>
  <si>
    <t>Wrap 13</t>
  </si>
  <si>
    <t>Wrap 14</t>
  </si>
  <si>
    <t>Wrap 15</t>
  </si>
  <si>
    <t>Wrap 16</t>
  </si>
  <si>
    <t>Wrap 17</t>
  </si>
  <si>
    <t>Wrap 18</t>
  </si>
  <si>
    <t>Wrap 19</t>
  </si>
  <si>
    <t>Wrap 20</t>
  </si>
  <si>
    <t>Wrap 21</t>
  </si>
  <si>
    <t>Wrap 22</t>
  </si>
  <si>
    <t>Wrap 23</t>
  </si>
  <si>
    <t>Wrap 24</t>
  </si>
  <si>
    <t>Wrap 25</t>
  </si>
  <si>
    <t>Wrap 26</t>
  </si>
  <si>
    <t>Wrap 27</t>
  </si>
  <si>
    <t>Wrap 28</t>
  </si>
  <si>
    <t>Wrap 29</t>
  </si>
  <si>
    <t>Wrap 30</t>
  </si>
  <si>
    <t>Wrap 31</t>
  </si>
  <si>
    <t>Wrap 32</t>
  </si>
  <si>
    <t>Wrap 33</t>
  </si>
  <si>
    <t>Wrap 34</t>
  </si>
  <si>
    <t>Wrap 35</t>
  </si>
  <si>
    <t>Wrap 36</t>
  </si>
  <si>
    <t>Wrap 37</t>
  </si>
  <si>
    <t>Wrap 38</t>
  </si>
  <si>
    <t>Wrap 39</t>
  </si>
  <si>
    <t>Wrap 40</t>
  </si>
  <si>
    <t>Wrap 41</t>
  </si>
  <si>
    <t>Wrap 42</t>
  </si>
  <si>
    <t>Wrap 43</t>
  </si>
  <si>
    <t>Wrap 44</t>
  </si>
  <si>
    <t>Wrap 45</t>
  </si>
  <si>
    <t>Wrap 46</t>
  </si>
  <si>
    <t>Wrap 47</t>
  </si>
  <si>
    <t>Wrap 48</t>
  </si>
  <si>
    <t>Wrap 49</t>
  </si>
  <si>
    <t>Wrap 50</t>
  </si>
  <si>
    <t>Wrap 51</t>
  </si>
  <si>
    <t>Wrap 52</t>
  </si>
  <si>
    <t>Wrap 53</t>
  </si>
  <si>
    <t>Wrap 54</t>
  </si>
  <si>
    <t>Wrap 55</t>
  </si>
  <si>
    <t>Wrap 56</t>
  </si>
  <si>
    <t>Wrap 57</t>
  </si>
  <si>
    <t>Wrap 58</t>
  </si>
  <si>
    <t>Wrap 59</t>
  </si>
  <si>
    <t>Wrap 60</t>
  </si>
  <si>
    <t>Wrap 61</t>
  </si>
  <si>
    <t>Wrap 62</t>
  </si>
  <si>
    <t>Wrap 63</t>
  </si>
  <si>
    <t>Wrap 64</t>
  </si>
  <si>
    <t>Wrap 65</t>
  </si>
  <si>
    <t>Wrap 66</t>
  </si>
  <si>
    <t>Wrap 67</t>
  </si>
  <si>
    <t>Wrap 68</t>
  </si>
  <si>
    <t>Wrap 69</t>
  </si>
  <si>
    <t>Wrap 70</t>
  </si>
  <si>
    <t>Wrap 71</t>
  </si>
  <si>
    <t>Wrap 72</t>
  </si>
  <si>
    <t>Wrap 73</t>
  </si>
  <si>
    <t>Wrap 74</t>
  </si>
  <si>
    <t>Wrap 75</t>
  </si>
  <si>
    <t>Wrap 76</t>
  </si>
  <si>
    <t>Wrap 77</t>
  </si>
  <si>
    <t>Kick 1</t>
  </si>
  <si>
    <t>Wrap 2</t>
  </si>
  <si>
    <t>Kick 2</t>
  </si>
  <si>
    <t>Wrap 3</t>
  </si>
  <si>
    <t>Kick 3</t>
  </si>
  <si>
    <t>Wrap 4</t>
  </si>
  <si>
    <t>Kick 4</t>
  </si>
  <si>
    <t>Wrap 5</t>
  </si>
  <si>
    <t>Kick 5</t>
  </si>
  <si>
    <t>Wrap 6</t>
  </si>
  <si>
    <t>Kick 6</t>
  </si>
  <si>
    <t>Wrap 7</t>
  </si>
  <si>
    <t>Kick 7</t>
  </si>
  <si>
    <t>Wrap 8</t>
  </si>
  <si>
    <t>Kick 8</t>
  </si>
  <si>
    <t>Wrap 9</t>
  </si>
  <si>
    <t>Kick 9</t>
  </si>
  <si>
    <t>Wrap 10</t>
  </si>
  <si>
    <t>Kick 10</t>
  </si>
  <si>
    <t>Wrap 11</t>
  </si>
  <si>
    <t>Kick 11</t>
  </si>
  <si>
    <t>Wrap 12</t>
  </si>
  <si>
    <t>Kick 12</t>
  </si>
  <si>
    <t>Kick 13</t>
  </si>
  <si>
    <t>Kick 14</t>
  </si>
  <si>
    <t>Kick 15</t>
  </si>
  <si>
    <t>Kick 16</t>
  </si>
  <si>
    <t>Kick 17</t>
  </si>
  <si>
    <t>Kick 18</t>
  </si>
  <si>
    <t>Kick 19</t>
  </si>
  <si>
    <t>Kick 20</t>
  </si>
  <si>
    <t>Kick 21</t>
  </si>
  <si>
    <t>Kick 22</t>
  </si>
  <si>
    <t>Kick 23</t>
  </si>
  <si>
    <t>Kick 24</t>
  </si>
  <si>
    <t>Kick 25</t>
  </si>
  <si>
    <t>Kick 26</t>
  </si>
  <si>
    <t>Kick 27</t>
  </si>
  <si>
    <t>Kick 28</t>
  </si>
  <si>
    <t>Kick 29</t>
  </si>
  <si>
    <t>Kick 30</t>
  </si>
  <si>
    <t>Kick 31</t>
  </si>
  <si>
    <t>Kick 32</t>
  </si>
  <si>
    <t>Kick 33</t>
  </si>
  <si>
    <t>Kick 34</t>
  </si>
  <si>
    <t>Kick 35</t>
  </si>
  <si>
    <t>Kick 36</t>
  </si>
  <si>
    <t>Kick 37</t>
  </si>
  <si>
    <t>Kick 38</t>
  </si>
  <si>
    <t>Kick 39</t>
  </si>
  <si>
    <t>Kick 40</t>
  </si>
  <si>
    <t>Kick 41</t>
  </si>
  <si>
    <t>Kick 42</t>
  </si>
  <si>
    <t>Kick 43</t>
  </si>
  <si>
    <t>Kick 44</t>
  </si>
  <si>
    <t>Kick 45</t>
  </si>
  <si>
    <t>Kick 46</t>
  </si>
  <si>
    <t>Kick 47</t>
  </si>
  <si>
    <t>Kick 48</t>
  </si>
  <si>
    <t>Kick 49</t>
  </si>
  <si>
    <t>Kick 50</t>
  </si>
  <si>
    <t>Kick 51</t>
  </si>
  <si>
    <t>Kick 52</t>
  </si>
  <si>
    <t>Kick 53</t>
  </si>
  <si>
    <t>Kick 54</t>
  </si>
  <si>
    <t>Kick 55</t>
  </si>
  <si>
    <t>Kick 56</t>
  </si>
  <si>
    <t>Kick 57</t>
  </si>
  <si>
    <t>Kick 58</t>
  </si>
  <si>
    <t>Kick 59</t>
  </si>
  <si>
    <t>Kick 60</t>
  </si>
  <si>
    <t>Kick 61</t>
  </si>
  <si>
    <t>Kick 62</t>
  </si>
  <si>
    <t>Kick 63</t>
  </si>
  <si>
    <t>Kick 64</t>
  </si>
  <si>
    <t>Kick 65</t>
  </si>
  <si>
    <t>Kick 66</t>
  </si>
  <si>
    <t>Kick 67</t>
  </si>
  <si>
    <t>Kick 68</t>
  </si>
  <si>
    <t>Kick 69</t>
  </si>
  <si>
    <t>Kick 70</t>
  </si>
  <si>
    <t>Kick 71</t>
  </si>
  <si>
    <t>Kick 72</t>
  </si>
  <si>
    <t>Kick 73</t>
  </si>
  <si>
    <t>Kick 74</t>
  </si>
  <si>
    <t>Kick 75</t>
  </si>
  <si>
    <t>Kick 76</t>
  </si>
  <si>
    <t>Kick 77</t>
  </si>
  <si>
    <t>Wrap 78</t>
  </si>
  <si>
    <t>Kick 78</t>
  </si>
  <si>
    <t>Wrap 79</t>
  </si>
  <si>
    <t>Kick 79</t>
  </si>
  <si>
    <t>Wrap 80</t>
  </si>
  <si>
    <t>Kick 80</t>
  </si>
  <si>
    <t>Wrap 81</t>
  </si>
  <si>
    <t>Kick 81</t>
  </si>
  <si>
    <t>Wrap 82</t>
  </si>
  <si>
    <t>Kick 82</t>
  </si>
  <si>
    <t>Wrap 83</t>
  </si>
  <si>
    <t>Kick 83</t>
  </si>
  <si>
    <t>Wrap 84</t>
  </si>
  <si>
    <t>Kick 84</t>
  </si>
  <si>
    <t>Wrap 85</t>
  </si>
  <si>
    <t>Kick 85</t>
  </si>
  <si>
    <t>Wrap 86</t>
  </si>
  <si>
    <t>Kick 86</t>
  </si>
  <si>
    <t>Wrap 87</t>
  </si>
  <si>
    <t>Kick 87</t>
  </si>
  <si>
    <t>Wrap 88</t>
  </si>
  <si>
    <t>Kick 88</t>
  </si>
  <si>
    <t>Wrap 89</t>
  </si>
  <si>
    <t>Kick 89</t>
  </si>
  <si>
    <t>Wrap 90</t>
  </si>
  <si>
    <t>Kick 90</t>
  </si>
  <si>
    <t>Wrap 91</t>
  </si>
  <si>
    <t>Kick 91</t>
  </si>
  <si>
    <t>Wrap 92</t>
  </si>
  <si>
    <t>Kick 92</t>
  </si>
  <si>
    <t>Wrap 93</t>
  </si>
  <si>
    <t>Kick 93</t>
  </si>
  <si>
    <t>Wrap 94</t>
  </si>
  <si>
    <t>Kick 94</t>
  </si>
  <si>
    <t>Wrap 95</t>
  </si>
  <si>
    <t>Kick 95</t>
  </si>
  <si>
    <t>Wrap 96</t>
  </si>
  <si>
    <t>Kick 96</t>
  </si>
  <si>
    <t>Wrap 97</t>
  </si>
  <si>
    <t>Kick 97</t>
  </si>
  <si>
    <t>Wrap 98</t>
  </si>
  <si>
    <t>Kick 98</t>
  </si>
  <si>
    <t>Wrap 99</t>
  </si>
  <si>
    <t>Kick 99</t>
  </si>
  <si>
    <t>Wrap 100</t>
  </si>
  <si>
    <t>Kick 100</t>
  </si>
  <si>
    <t>Wrap 101</t>
  </si>
  <si>
    <t>Kick 101</t>
  </si>
  <si>
    <t>Wrap 102</t>
  </si>
  <si>
    <t>Kick 102</t>
  </si>
  <si>
    <t>Wrap 103</t>
  </si>
  <si>
    <t>Kick 103</t>
  </si>
  <si>
    <t>Wrap 104</t>
  </si>
  <si>
    <t>Kick 104</t>
  </si>
  <si>
    <t>Wrap 105</t>
  </si>
  <si>
    <t>Kick 105</t>
  </si>
  <si>
    <t>Wrap 106</t>
  </si>
  <si>
    <t>Kick 106</t>
  </si>
  <si>
    <t>Wrap 107</t>
  </si>
  <si>
    <t>Kick 107</t>
  </si>
  <si>
    <t>Wrap 108</t>
  </si>
  <si>
    <t>Kick 108</t>
  </si>
  <si>
    <t>Wrap 109</t>
  </si>
  <si>
    <t>Kick 109</t>
  </si>
  <si>
    <t>Wrap 110</t>
  </si>
  <si>
    <t>Kick 110</t>
  </si>
  <si>
    <t>Wrap 111</t>
  </si>
  <si>
    <t>Kick 111</t>
  </si>
  <si>
    <t>Wrap 112</t>
  </si>
  <si>
    <t>Kick 112</t>
  </si>
  <si>
    <t>Wrap 113</t>
  </si>
  <si>
    <t>Kick 113</t>
  </si>
  <si>
    <t>Wrap 114</t>
  </si>
  <si>
    <t>Kick 114</t>
  </si>
  <si>
    <t>Wrap 115</t>
  </si>
  <si>
    <t>Kick 115</t>
  </si>
  <si>
    <t>Wrap 116</t>
  </si>
  <si>
    <t>Kick 116</t>
  </si>
  <si>
    <t>Wrap 117</t>
  </si>
  <si>
    <t>Kick 117</t>
  </si>
  <si>
    <t>Wrap 118</t>
  </si>
  <si>
    <t>Kick 118</t>
  </si>
  <si>
    <t>Wrap 119</t>
  </si>
  <si>
    <t>Kick 119</t>
  </si>
  <si>
    <t>Wrap 120</t>
  </si>
  <si>
    <t>Kick 120</t>
  </si>
  <si>
    <t>Wrap 121</t>
  </si>
  <si>
    <t>Kick 121</t>
  </si>
  <si>
    <t>Wrap 122</t>
  </si>
  <si>
    <t>Kick 122</t>
  </si>
  <si>
    <t>Wrap 123</t>
  </si>
  <si>
    <t>Kick 123</t>
  </si>
  <si>
    <t>Wrap 124</t>
  </si>
  <si>
    <t>Kick 124</t>
  </si>
  <si>
    <t>Wrap 125</t>
  </si>
  <si>
    <t>Kick 125</t>
  </si>
  <si>
    <t>Wrap 126</t>
  </si>
  <si>
    <t>Kick 126</t>
  </si>
  <si>
    <t>Wrap 127</t>
  </si>
  <si>
    <t>Kick 127</t>
  </si>
  <si>
    <t>Wrap 128</t>
  </si>
  <si>
    <t>Kick 128</t>
  </si>
  <si>
    <t>Wrap 129</t>
  </si>
  <si>
    <t>Kick 129</t>
  </si>
  <si>
    <t>Wrap 130</t>
  </si>
  <si>
    <t>Kick 130</t>
  </si>
  <si>
    <t>Wrap 131</t>
  </si>
  <si>
    <t>Kick 131</t>
  </si>
  <si>
    <t>Wrap 132</t>
  </si>
  <si>
    <t>Kick 132</t>
  </si>
  <si>
    <t>Wrap 133</t>
  </si>
  <si>
    <t>Kick 133</t>
  </si>
  <si>
    <t>Wrap 134</t>
  </si>
  <si>
    <t>Kick 134</t>
  </si>
  <si>
    <t>Wrap 135</t>
  </si>
  <si>
    <t>Kick 135</t>
  </si>
  <si>
    <t>Wrap 136</t>
  </si>
  <si>
    <t>Kick 136</t>
  </si>
  <si>
    <t>Wrap 137</t>
  </si>
  <si>
    <t>Kick 137</t>
  </si>
  <si>
    <t>Wrap 138</t>
  </si>
  <si>
    <t>Kick 138</t>
  </si>
  <si>
    <t>Wrap 139</t>
  </si>
  <si>
    <t>Kick 139</t>
  </si>
  <si>
    <t>Wrap 140</t>
  </si>
  <si>
    <t>Kick 140</t>
  </si>
  <si>
    <t>Wrap 141</t>
  </si>
  <si>
    <t>Kick 141</t>
  </si>
  <si>
    <t>Wrap 142</t>
  </si>
  <si>
    <t>Kick 142</t>
  </si>
  <si>
    <t>Wrap 143</t>
  </si>
  <si>
    <t>Kick 143</t>
  </si>
  <si>
    <t>Wrap 144</t>
  </si>
  <si>
    <t>Kick 144</t>
  </si>
  <si>
    <t>Wrap 145</t>
  </si>
  <si>
    <t>Kick 145</t>
  </si>
  <si>
    <t>Wrap 146</t>
  </si>
  <si>
    <t>Kick 146</t>
  </si>
  <si>
    <t>Wrap 147</t>
  </si>
  <si>
    <t>Kick 147</t>
  </si>
  <si>
    <t>Wrap 148</t>
  </si>
  <si>
    <t>Kick 148</t>
  </si>
  <si>
    <t>Wrap 149</t>
  </si>
  <si>
    <t>Kick 149</t>
  </si>
  <si>
    <t>Wrap 150</t>
  </si>
  <si>
    <t>Kick 150</t>
  </si>
  <si>
    <t>Wrap 151</t>
  </si>
  <si>
    <t>Kick 151</t>
  </si>
  <si>
    <t>Wrap 152</t>
  </si>
  <si>
    <t>Kick 152</t>
  </si>
  <si>
    <t>Wrap 153</t>
  </si>
  <si>
    <t>Kick 153</t>
  </si>
  <si>
    <t>Wrap 154</t>
  </si>
  <si>
    <t>Kick 154</t>
  </si>
  <si>
    <t>Wrap 155</t>
  </si>
  <si>
    <t>Kick 155</t>
  </si>
  <si>
    <t>Wrap 156</t>
  </si>
  <si>
    <t>Kick 156</t>
  </si>
  <si>
    <t>Wrap 157</t>
  </si>
  <si>
    <t>Kick 157</t>
  </si>
  <si>
    <t>Wrap 158</t>
  </si>
  <si>
    <t>Kick 158</t>
  </si>
  <si>
    <t>Wrap 159</t>
  </si>
  <si>
    <t>Kick 159</t>
  </si>
  <si>
    <t>Wrap 160</t>
  </si>
  <si>
    <t>Kick 160</t>
  </si>
  <si>
    <t>Wrap 161</t>
  </si>
  <si>
    <t>Kick 161</t>
  </si>
  <si>
    <t>Wrap 162</t>
  </si>
  <si>
    <t>Kick 162</t>
  </si>
  <si>
    <t>Wrap 163</t>
  </si>
  <si>
    <t>Kick 163</t>
  </si>
  <si>
    <t>Wrap 164</t>
  </si>
  <si>
    <t>Kick 164</t>
  </si>
  <si>
    <t>Wrap 165</t>
  </si>
  <si>
    <t>Kick 165</t>
  </si>
  <si>
    <t>Wrap 166</t>
  </si>
  <si>
    <t>Kick 166</t>
  </si>
  <si>
    <t>Wrap 167</t>
  </si>
  <si>
    <t>Kick 167</t>
  </si>
  <si>
    <t>Wrap 168</t>
  </si>
  <si>
    <t>Kick 168</t>
  </si>
  <si>
    <t>Wrap 169</t>
  </si>
  <si>
    <t>Kick 169</t>
  </si>
  <si>
    <t>Wrap 170</t>
  </si>
  <si>
    <t>Kick 170</t>
  </si>
  <si>
    <t>Wrap 171</t>
  </si>
  <si>
    <t>Kick 171</t>
  </si>
  <si>
    <t>Wrap 172</t>
  </si>
  <si>
    <t>Kick 172</t>
  </si>
  <si>
    <t>Wrap 173</t>
  </si>
  <si>
    <t>Kick 173</t>
  </si>
  <si>
    <t>Wrap 174</t>
  </si>
  <si>
    <t>Kick 174</t>
  </si>
  <si>
    <t>Wrap 175</t>
  </si>
  <si>
    <t>Kick 175</t>
  </si>
  <si>
    <t>Wrap 176</t>
  </si>
  <si>
    <t>Kick 176</t>
  </si>
  <si>
    <t>M0</t>
  </si>
  <si>
    <t>G1X0.0Y0.0F</t>
  </si>
  <si>
    <t>Wrap 177</t>
  </si>
  <si>
    <t>Kick 177</t>
  </si>
  <si>
    <t>Wrap 178</t>
  </si>
  <si>
    <t>Kick 178</t>
  </si>
  <si>
    <t>Wrap 179</t>
  </si>
  <si>
    <t>Kick 179</t>
  </si>
  <si>
    <t>Wrap 180</t>
  </si>
  <si>
    <t>Kick 180</t>
  </si>
  <si>
    <t>Wrap 181</t>
  </si>
  <si>
    <t>Kick 181</t>
  </si>
  <si>
    <t>Wrap 182</t>
  </si>
  <si>
    <t>Kick 182</t>
  </si>
  <si>
    <t>Wrap 183</t>
  </si>
  <si>
    <t>Kick 183</t>
  </si>
  <si>
    <t>Wrap 184</t>
  </si>
  <si>
    <t>Kick 184</t>
  </si>
  <si>
    <t>Wrap 185</t>
  </si>
  <si>
    <t>Kick 185</t>
  </si>
  <si>
    <t>Wrap 186</t>
  </si>
  <si>
    <t>Kick 186</t>
  </si>
  <si>
    <t>Wrap 187</t>
  </si>
  <si>
    <t>Kick 187</t>
  </si>
  <si>
    <t>Wrap 188</t>
  </si>
  <si>
    <t>Kick 188</t>
  </si>
  <si>
    <t>Wrap 189</t>
  </si>
  <si>
    <t>Kick 189</t>
  </si>
  <si>
    <t>Wrap 190</t>
  </si>
  <si>
    <t>Kick 190</t>
  </si>
  <si>
    <t>Wrap 191</t>
  </si>
  <si>
    <t>Kick 191</t>
  </si>
  <si>
    <t>Wrap 192</t>
  </si>
  <si>
    <t>Kick 192</t>
  </si>
  <si>
    <t>Wrap 193</t>
  </si>
  <si>
    <t>Kick 193</t>
  </si>
  <si>
    <t>Wrap 194</t>
  </si>
  <si>
    <t>Kick 194</t>
  </si>
  <si>
    <t>Wrap 195</t>
  </si>
  <si>
    <t>Kick 195</t>
  </si>
  <si>
    <t>Wrap 196</t>
  </si>
  <si>
    <t>Kick 196</t>
  </si>
  <si>
    <t>Wrap 197</t>
  </si>
  <si>
    <t>Kick 197</t>
  </si>
  <si>
    <t>Wrap 198</t>
  </si>
  <si>
    <t>Kick 198</t>
  </si>
  <si>
    <t>Wrap 199</t>
  </si>
  <si>
    <t>Kick 199</t>
  </si>
  <si>
    <t>Wrap 200</t>
  </si>
  <si>
    <t>Kick 200</t>
  </si>
  <si>
    <t>Wrap 201</t>
  </si>
  <si>
    <t>Kick 201</t>
  </si>
  <si>
    <t>Wrap 202</t>
  </si>
  <si>
    <t>Kick 202</t>
  </si>
  <si>
    <t>Wrap 203</t>
  </si>
  <si>
    <t>Kick 203</t>
  </si>
  <si>
    <t>Wrap 204</t>
  </si>
  <si>
    <t>Kick 204</t>
  </si>
  <si>
    <t>Wrap 205</t>
  </si>
  <si>
    <t>Kick 205</t>
  </si>
  <si>
    <t>Wrap 206</t>
  </si>
  <si>
    <t>Kick 206</t>
  </si>
  <si>
    <t>Wrap 207</t>
  </si>
  <si>
    <t>Kick 207</t>
  </si>
  <si>
    <t>Wrap 208</t>
  </si>
  <si>
    <t>Kick 208</t>
  </si>
  <si>
    <t>Wrap 209</t>
  </si>
  <si>
    <t>Kick 209</t>
  </si>
  <si>
    <t>Wrap 210</t>
  </si>
  <si>
    <t>Kick 210</t>
  </si>
  <si>
    <t>Wrap 211</t>
  </si>
  <si>
    <t>Kick 211</t>
  </si>
  <si>
    <t>Wrap 212</t>
  </si>
  <si>
    <t>Kick 212</t>
  </si>
  <si>
    <t>Wrap 213</t>
  </si>
  <si>
    <t>Kick 213</t>
  </si>
  <si>
    <t>Wrap 214</t>
  </si>
  <si>
    <t>Kick 214</t>
  </si>
  <si>
    <t>Wrap 215</t>
  </si>
  <si>
    <t>Kick 215</t>
  </si>
  <si>
    <t>Wrap 216</t>
  </si>
  <si>
    <t>Kick 216</t>
  </si>
  <si>
    <t>Wrap 217</t>
  </si>
  <si>
    <t>Kick 217</t>
  </si>
  <si>
    <t>Wrap 218</t>
  </si>
  <si>
    <t>Kick 218</t>
  </si>
  <si>
    <t>Wrap 219</t>
  </si>
  <si>
    <t>Kick 219</t>
  </si>
  <si>
    <t>Wrap 220</t>
  </si>
  <si>
    <t>Kick 220</t>
  </si>
  <si>
    <t>Wrap 221</t>
  </si>
  <si>
    <t>Kick 221</t>
  </si>
  <si>
    <t>Wrap 222</t>
  </si>
  <si>
    <t>Kick 222</t>
  </si>
  <si>
    <t>Wrap 223</t>
  </si>
  <si>
    <t>Kick 223</t>
  </si>
  <si>
    <t>Wrap 224</t>
  </si>
  <si>
    <t>Kick 224</t>
  </si>
  <si>
    <t>Wrap 225</t>
  </si>
  <si>
    <t>Kick 225</t>
  </si>
  <si>
    <t>Wrap 226</t>
  </si>
  <si>
    <t>Kick 226</t>
  </si>
  <si>
    <t>Wrap 227</t>
  </si>
  <si>
    <t>Kick 227</t>
  </si>
  <si>
    <t>Wrap 228</t>
  </si>
  <si>
    <t>Kick 228</t>
  </si>
  <si>
    <t>Wrap 229</t>
  </si>
  <si>
    <t>Kick 229</t>
  </si>
  <si>
    <t>Wrap 230</t>
  </si>
  <si>
    <t>Kick 230</t>
  </si>
  <si>
    <t>Wrap 231</t>
  </si>
  <si>
    <t>Kick 231</t>
  </si>
  <si>
    <t>Wrap 232</t>
  </si>
  <si>
    <t>Kick 232</t>
  </si>
  <si>
    <t>Wrap 233</t>
  </si>
  <si>
    <t>Kick 233</t>
  </si>
  <si>
    <t>Wrap 234</t>
  </si>
  <si>
    <t>Kick 234</t>
  </si>
  <si>
    <t>Wrap 235</t>
  </si>
  <si>
    <t>Kick 235</t>
  </si>
  <si>
    <t>Wrap 236</t>
  </si>
  <si>
    <t>Kick 236</t>
  </si>
  <si>
    <t>Wrap 237</t>
  </si>
  <si>
    <t>Kick 237</t>
  </si>
  <si>
    <t>Wrap 238</t>
  </si>
  <si>
    <t>Kick 238</t>
  </si>
  <si>
    <t>Wrap 239</t>
  </si>
  <si>
    <t>Kick 239</t>
  </si>
  <si>
    <t>Wrap 240</t>
  </si>
  <si>
    <t>Kick 240</t>
  </si>
  <si>
    <t>Wrap 241</t>
  </si>
  <si>
    <t>Kick 241</t>
  </si>
  <si>
    <t>Wrap 242</t>
  </si>
  <si>
    <t>Kick 242</t>
  </si>
  <si>
    <t>Wrap 243</t>
  </si>
  <si>
    <t>Kick 243</t>
  </si>
  <si>
    <t>Wrap 244</t>
  </si>
  <si>
    <t>Kick 244</t>
  </si>
  <si>
    <t>Wrap 245</t>
  </si>
  <si>
    <t>Kick 245</t>
  </si>
  <si>
    <t>Wrap 246</t>
  </si>
  <si>
    <t>Kick 246</t>
  </si>
  <si>
    <t>Wrap 247</t>
  </si>
  <si>
    <t>Kick 247</t>
  </si>
  <si>
    <t>Wrap 248</t>
  </si>
  <si>
    <t>Kick 248</t>
  </si>
  <si>
    <t>Wrap 249</t>
  </si>
  <si>
    <t>Kick 249</t>
  </si>
  <si>
    <t>Wrap 250</t>
  </si>
  <si>
    <t>Kick 250</t>
  </si>
  <si>
    <t>Wrap 251</t>
  </si>
  <si>
    <t>Kick 251</t>
  </si>
  <si>
    <t>Wrap 252</t>
  </si>
  <si>
    <t>Kick 252</t>
  </si>
  <si>
    <t>Wrap 253</t>
  </si>
  <si>
    <t>Kick 253</t>
  </si>
  <si>
    <t>Wrap 254</t>
  </si>
  <si>
    <t>Kick 254</t>
  </si>
  <si>
    <t>Wrap 255</t>
  </si>
  <si>
    <t>Kick 255</t>
  </si>
  <si>
    <t>Wrap 256</t>
  </si>
  <si>
    <t>Kick 256</t>
  </si>
  <si>
    <t>Wrap 257</t>
  </si>
  <si>
    <t>Kick 257</t>
  </si>
  <si>
    <t>Wrap 258</t>
  </si>
  <si>
    <t>Kick 258</t>
  </si>
  <si>
    <t>Wrap 259</t>
  </si>
  <si>
    <t>Kick 259</t>
  </si>
  <si>
    <t>Wrap 260</t>
  </si>
  <si>
    <t>Kick 260</t>
  </si>
  <si>
    <t>Wrap 261</t>
  </si>
  <si>
    <t>Kick 261</t>
  </si>
  <si>
    <t>Wrap 262</t>
  </si>
  <si>
    <t>Kick 262</t>
  </si>
  <si>
    <t>Wrap 263</t>
  </si>
  <si>
    <t>Kick 263</t>
  </si>
  <si>
    <t>Wrap 264</t>
  </si>
  <si>
    <t>Kick 264</t>
  </si>
  <si>
    <t>Wrap 265</t>
  </si>
  <si>
    <t>Kick 265</t>
  </si>
  <si>
    <t>Wrap 266</t>
  </si>
  <si>
    <t>Kick 266</t>
  </si>
  <si>
    <t>Wrap 267</t>
  </si>
  <si>
    <t>Kick 267</t>
  </si>
  <si>
    <t>Wrap 268</t>
  </si>
  <si>
    <t>Kick 268</t>
  </si>
  <si>
    <t>Wrap 269</t>
  </si>
  <si>
    <t>Kick 269</t>
  </si>
  <si>
    <t>Wrap 270</t>
  </si>
  <si>
    <t>Kick 270</t>
  </si>
  <si>
    <t>Wrap 271</t>
  </si>
  <si>
    <t>Kick 271</t>
  </si>
  <si>
    <t>Wrap 272</t>
  </si>
  <si>
    <t>Kick 272</t>
  </si>
  <si>
    <t>Wrap 273</t>
  </si>
  <si>
    <t>Kick 273</t>
  </si>
  <si>
    <t>Wrap 274</t>
  </si>
  <si>
    <t>Kick 274</t>
  </si>
  <si>
    <t>Wrap 275</t>
  </si>
  <si>
    <t>Kick 275</t>
  </si>
  <si>
    <t>Wrap 276</t>
  </si>
  <si>
    <t>Kick 276</t>
  </si>
  <si>
    <t>Wrap 277</t>
  </si>
  <si>
    <t>Kick 277</t>
  </si>
  <si>
    <t>Wrap 278</t>
  </si>
  <si>
    <t>Kick 278</t>
  </si>
  <si>
    <t>Wrap 279</t>
  </si>
  <si>
    <t>Kick 279</t>
  </si>
  <si>
    <t>Wrap 280</t>
  </si>
  <si>
    <t>Kick 280</t>
  </si>
  <si>
    <t>Wrap 281</t>
  </si>
  <si>
    <t>Kick 281</t>
  </si>
  <si>
    <t>Wrap 282</t>
  </si>
  <si>
    <t>Kick 282</t>
  </si>
  <si>
    <t>Wrap 283</t>
  </si>
  <si>
    <t>Kick 283</t>
  </si>
  <si>
    <t>Wrap 284</t>
  </si>
  <si>
    <t>Kick 284</t>
  </si>
  <si>
    <t>Wrap 285</t>
  </si>
  <si>
    <t>Kick 285</t>
  </si>
  <si>
    <t>Wrap 286</t>
  </si>
  <si>
    <t>Kick 286</t>
  </si>
  <si>
    <t>Wrap 287</t>
  </si>
  <si>
    <t>Kick 287</t>
  </si>
  <si>
    <t>Wrap 288</t>
  </si>
  <si>
    <t>Kick 288</t>
  </si>
  <si>
    <t>Wrap 289</t>
  </si>
  <si>
    <t>Kick 289</t>
  </si>
  <si>
    <t>Wrap 290</t>
  </si>
  <si>
    <t>Kick 290</t>
  </si>
  <si>
    <t>Wrap 291</t>
  </si>
  <si>
    <t>Kick 291</t>
  </si>
  <si>
    <t>Wrap 292</t>
  </si>
  <si>
    <t>Kick 292</t>
  </si>
  <si>
    <t>Wrap 293</t>
  </si>
  <si>
    <t>Kick 293</t>
  </si>
  <si>
    <t>Wrap 294</t>
  </si>
  <si>
    <t>Kick 294</t>
  </si>
  <si>
    <t>Wrap 295</t>
  </si>
  <si>
    <t>Kick 295</t>
  </si>
  <si>
    <t>Wrap 296</t>
  </si>
  <si>
    <t>Kick 296</t>
  </si>
  <si>
    <t>Wrap 297</t>
  </si>
  <si>
    <t>Kick 297</t>
  </si>
  <si>
    <t>Wrap 298</t>
  </si>
  <si>
    <t>Kick 298</t>
  </si>
  <si>
    <t>Wrap 299</t>
  </si>
  <si>
    <t>Kick 299</t>
  </si>
  <si>
    <t>Wrap 300</t>
  </si>
  <si>
    <t>Kick 300</t>
  </si>
  <si>
    <t>Wrap 301</t>
  </si>
  <si>
    <t>Kick 301</t>
  </si>
  <si>
    <t>Wrap 302</t>
  </si>
  <si>
    <t>Kick 302</t>
  </si>
  <si>
    <t>Wrap 303</t>
  </si>
  <si>
    <t>Kick 303</t>
  </si>
  <si>
    <t>Wrap 304</t>
  </si>
  <si>
    <t>Kick 304</t>
  </si>
  <si>
    <t>Wrap 305</t>
  </si>
  <si>
    <t>Kick 305</t>
  </si>
  <si>
    <t>Wrap 306</t>
  </si>
  <si>
    <t>Kick 306</t>
  </si>
  <si>
    <t>X7.577Y7.426</t>
  </si>
  <si>
    <t>X8.606Y7.735</t>
  </si>
  <si>
    <t>X16.243Y15.372</t>
  </si>
  <si>
    <t>X17.273Y15.681</t>
  </si>
  <si>
    <t>X24.91Y23.318</t>
  </si>
  <si>
    <t>X25.939Y23.627</t>
  </si>
  <si>
    <t>X33.576Y31.264</t>
  </si>
  <si>
    <t>X34.605Y31.573</t>
  </si>
  <si>
    <t>X42.242Y39.21</t>
  </si>
  <si>
    <t>X43.271Y39.518</t>
  </si>
  <si>
    <t>X50.909Y47.156</t>
  </si>
  <si>
    <t>X51.938Y47.464</t>
  </si>
  <si>
    <t>X59.575Y55.102</t>
  </si>
  <si>
    <t>X60.604Y55.41</t>
  </si>
  <si>
    <t>X68.241Y63.047</t>
  </si>
  <si>
    <t>X69.27Y63.356</t>
  </si>
  <si>
    <t>X76.908Y70.993</t>
  </si>
  <si>
    <t>X77.937Y71.302</t>
  </si>
  <si>
    <t>X85.574Y78.939</t>
  </si>
  <si>
    <t>X86.603Y79.248</t>
  </si>
  <si>
    <t>X94.24Y86.885</t>
  </si>
  <si>
    <t>X95.269Y87.194</t>
  </si>
  <si>
    <t>X102.906Y94.831</t>
  </si>
  <si>
    <t>X103.936Y95.14</t>
  </si>
  <si>
    <t>X111.573Y102.777</t>
  </si>
  <si>
    <t>X112.602Y103.086</t>
  </si>
  <si>
    <t>X120.239Y110.723</t>
  </si>
  <si>
    <t>X121.268Y111.031</t>
  </si>
  <si>
    <t>X128.905Y118.669</t>
  </si>
  <si>
    <t>X129.934Y118.977</t>
  </si>
  <si>
    <t>X137.572Y126.614</t>
  </si>
  <si>
    <t>X138.601Y126.923</t>
  </si>
  <si>
    <t>X146.238Y134.56</t>
  </si>
  <si>
    <t>X150.267Y137.869</t>
  </si>
  <si>
    <t>X157.904Y145.506</t>
  </si>
  <si>
    <t>X158.933Y145.815</t>
  </si>
  <si>
    <t>X166.57Y153.452</t>
  </si>
  <si>
    <t>X167.6Y153.761</t>
  </si>
  <si>
    <t>X175.237Y161.398</t>
  </si>
  <si>
    <t>X176.266Y161.707</t>
  </si>
  <si>
    <t>X183.903Y169.344</t>
  </si>
  <si>
    <t>X184.932Y169.653</t>
  </si>
  <si>
    <t>X192.569Y177.29</t>
  </si>
  <si>
    <t>X193.598Y177.599</t>
  </si>
  <si>
    <t>X201.236Y185.236</t>
  </si>
  <si>
    <t>X202.265Y185.544</t>
  </si>
  <si>
    <t>X209.902Y193.182</t>
  </si>
  <si>
    <t>X210.931Y193.49</t>
  </si>
  <si>
    <t>X218.568Y201.127</t>
  </si>
  <si>
    <t>X219.597Y201.436</t>
  </si>
  <si>
    <t>X227.235Y209.073</t>
  </si>
  <si>
    <t>X228.264Y209.382</t>
  </si>
  <si>
    <t>X235.901Y217.019</t>
  </si>
  <si>
    <t>X236.93Y217.328</t>
  </si>
  <si>
    <t>X244.567Y224.965</t>
  </si>
  <si>
    <t>X245.596Y225.274</t>
  </si>
  <si>
    <t>X253.233Y232.911</t>
  </si>
  <si>
    <t>X254.263Y233.22</t>
  </si>
  <si>
    <t>X261.9Y240.857</t>
  </si>
  <si>
    <t>X262.929Y241.166</t>
  </si>
  <si>
    <t>X270.566Y248.803</t>
  </si>
  <si>
    <t>X271.595Y249.112</t>
  </si>
  <si>
    <t>X279.232Y256.749</t>
  </si>
  <si>
    <t>X280.261Y257.057</t>
  </si>
  <si>
    <t>X287.899Y264.695</t>
  </si>
  <si>
    <t>X288.928Y265.003</t>
  </si>
  <si>
    <t>X296.565Y272.64</t>
  </si>
  <si>
    <t>X300.594Y275.949</t>
  </si>
  <si>
    <t>X308.231Y283.586</t>
  </si>
  <si>
    <t>X309.26Y283.895</t>
  </si>
  <si>
    <t>X316.897Y291.532</t>
  </si>
  <si>
    <t>X317.927Y291.841</t>
  </si>
  <si>
    <t>X325.564Y299.478</t>
  </si>
  <si>
    <t>X326.593Y299.787</t>
  </si>
  <si>
    <t>X334.23Y307.424</t>
  </si>
  <si>
    <t>X335.259Y307.733</t>
  </si>
  <si>
    <t>X342.896Y315.37</t>
  </si>
  <si>
    <t>X343.926Y315.679</t>
  </si>
  <si>
    <t>X351.563Y323.316</t>
  </si>
  <si>
    <t>X352.592Y323.625</t>
  </si>
  <si>
    <t>X360.229Y331.262</t>
  </si>
  <si>
    <t>X361.258Y331.57</t>
  </si>
  <si>
    <t>X368.895Y339.208</t>
  </si>
  <si>
    <t>X369.924Y339.516</t>
  </si>
  <si>
    <t>X377.562Y347.153</t>
  </si>
  <si>
    <t>X378.591Y347.462</t>
  </si>
  <si>
    <t>X386.228Y355.099</t>
  </si>
  <si>
    <t>X387.257Y355.408</t>
  </si>
  <si>
    <t>X394.894Y363.045</t>
  </si>
  <si>
    <t>X395.923Y363.354</t>
  </si>
  <si>
    <t>X403.56Y370.991</t>
  </si>
  <si>
    <t>X404.59Y371.3</t>
  </si>
  <si>
    <t>X412.227Y378.937</t>
  </si>
  <si>
    <t>X413.256Y379.246</t>
  </si>
  <si>
    <t>X420.893Y386.883</t>
  </si>
  <si>
    <t>X421.922Y387.192</t>
  </si>
  <si>
    <t>X429.559Y394.829</t>
  </si>
  <si>
    <t>X430.588Y395.137</t>
  </si>
  <si>
    <t>X438.226Y402.775</t>
  </si>
  <si>
    <t>X439.255Y403.083</t>
  </si>
  <si>
    <t>X446.892Y410.721</t>
  </si>
  <si>
    <t>X450.921Y414.029</t>
  </si>
  <si>
    <t>X458.558Y421.666</t>
  </si>
  <si>
    <t>X459.587Y421.975</t>
  </si>
  <si>
    <t>X467.224Y429.612</t>
  </si>
  <si>
    <t>X468.254Y429.921</t>
  </si>
  <si>
    <t>X475.891Y437.558</t>
  </si>
  <si>
    <t>X476.92Y437.867</t>
  </si>
  <si>
    <t>X484.557Y445.504</t>
  </si>
  <si>
    <t>X485.586Y445.813</t>
  </si>
  <si>
    <t>X493.223Y453.45</t>
  </si>
  <si>
    <t>X494.253Y453.759</t>
  </si>
  <si>
    <t>X501.89Y461.396</t>
  </si>
  <si>
    <t>X502.919Y461.705</t>
  </si>
  <si>
    <t>X510.556Y469.342</t>
  </si>
  <si>
    <t>X511.585Y469.65</t>
  </si>
  <si>
    <t>X519.222Y477.288</t>
  </si>
  <si>
    <t>X520.251Y477.596</t>
  </si>
  <si>
    <t>X527.889Y485.233</t>
  </si>
  <si>
    <t>X528.918Y485.542</t>
  </si>
  <si>
    <t>X536.555Y493.179</t>
  </si>
  <si>
    <t>X537.584Y493.488</t>
  </si>
  <si>
    <t>X545.221Y501.125</t>
  </si>
  <si>
    <t>X546.25Y501.434</t>
  </si>
  <si>
    <t>X553.887Y509.071</t>
  </si>
  <si>
    <t>X554.917Y509.38</t>
  </si>
  <si>
    <t>X562.554Y517.017</t>
  </si>
  <si>
    <t>X563.583Y517.326</t>
  </si>
  <si>
    <t>X571.22Y524.963</t>
  </si>
  <si>
    <t>X572.249Y525.272</t>
  </si>
  <si>
    <t>X579.886Y532.909</t>
  </si>
  <si>
    <t>X580.915Y533.218</t>
  </si>
  <si>
    <t>X588.553Y540.855</t>
  </si>
  <si>
    <t>X589.582Y541.163</t>
  </si>
  <si>
    <t>X597.219Y548.801</t>
  </si>
  <si>
    <t>X601.248Y552.109</t>
  </si>
  <si>
    <t>X608.885Y559.746</t>
  </si>
  <si>
    <t>X609.914Y560.055</t>
  </si>
  <si>
    <t>X617.552Y567.692</t>
  </si>
  <si>
    <t>X618.581Y568.001</t>
  </si>
  <si>
    <t>X626.218Y575.638</t>
  </si>
  <si>
    <t>X627.247Y575.947</t>
  </si>
  <si>
    <t>X634.884Y583.584</t>
  </si>
  <si>
    <t>X635.913Y583.893</t>
  </si>
  <si>
    <t>X643.55Y591.53</t>
  </si>
  <si>
    <t>X644.58Y591.839</t>
  </si>
  <si>
    <t>X652.217Y599.476</t>
  </si>
  <si>
    <t>X653.246Y599.785</t>
  </si>
  <si>
    <t>X660.883Y607.422</t>
  </si>
  <si>
    <t>X661.912Y607.731</t>
  </si>
  <si>
    <t>X669.549Y615.368</t>
  </si>
  <si>
    <t>X670.578Y615.676</t>
  </si>
  <si>
    <t>X678.216Y623.314</t>
  </si>
  <si>
    <t>X679.245Y623.622</t>
  </si>
  <si>
    <t>X686.882Y631.259</t>
  </si>
  <si>
    <t>X687.911Y631.568</t>
  </si>
  <si>
    <t>X695.548Y639.205</t>
  </si>
  <si>
    <t>X696.577Y639.514</t>
  </si>
  <si>
    <t>X704.214Y647.151</t>
  </si>
  <si>
    <t>X705.244Y647.46</t>
  </si>
  <si>
    <t>X712.881Y655.097</t>
  </si>
  <si>
    <t>X713.91Y655.406</t>
  </si>
  <si>
    <t>X721.547Y663.043</t>
  </si>
  <si>
    <t>X722.576Y663.352</t>
  </si>
  <si>
    <t>X730.213Y670.989</t>
  </si>
  <si>
    <t>X731.243Y671.298</t>
  </si>
  <si>
    <t>X738.88Y678.935</t>
  </si>
  <si>
    <t>X739.909Y679.244</t>
  </si>
  <si>
    <t>X747.546Y686.881</t>
  </si>
  <si>
    <t>X751.575Y690.189</t>
  </si>
  <si>
    <t>X759.212Y697.827</t>
  </si>
  <si>
    <t>X760.241Y698.135</t>
  </si>
  <si>
    <t>X767.879Y705.772</t>
  </si>
  <si>
    <t>X768.908Y706.081</t>
  </si>
  <si>
    <t>X776.545Y713.718</t>
  </si>
  <si>
    <t>X777.574Y714.027</t>
  </si>
  <si>
    <t>X785.211Y721.664</t>
  </si>
  <si>
    <t>X786.24Y721.973</t>
  </si>
  <si>
    <t>X793.877Y729.61</t>
  </si>
  <si>
    <t>X794.907Y729.919</t>
  </si>
  <si>
    <t>X802.544Y737.556</t>
  </si>
  <si>
    <t>X803.573Y737.865</t>
  </si>
  <si>
    <t>X811.21Y745.502</t>
  </si>
  <si>
    <t>X812.239Y745.811</t>
  </si>
  <si>
    <t>X819.876Y753.448</t>
  </si>
  <si>
    <t>X820.905Y753.756</t>
  </si>
  <si>
    <t>X828.543Y761.394</t>
  </si>
  <si>
    <t>X829.572Y761.702</t>
  </si>
  <si>
    <t>X837.209Y769.34</t>
  </si>
  <si>
    <t>X838.238Y769.648</t>
  </si>
  <si>
    <t>X845.875Y777.285</t>
  </si>
  <si>
    <t>X846.904Y777.594</t>
  </si>
  <si>
    <t>X854.541Y785.231</t>
  </si>
  <si>
    <t>X855.571Y785.54</t>
  </si>
  <si>
    <t>X863.208Y793.177</t>
  </si>
  <si>
    <t>X864.237Y793.486</t>
  </si>
  <si>
    <t>X871.874Y801.123</t>
  </si>
  <si>
    <t>X872.903Y801.432</t>
  </si>
  <si>
    <t>X880.54Y809.069</t>
  </si>
  <si>
    <t>X881.57Y809.378</t>
  </si>
  <si>
    <t>X889.207Y817.015</t>
  </si>
  <si>
    <t>X890.236Y817.324</t>
  </si>
  <si>
    <t>X897.873Y824.961</t>
  </si>
  <si>
    <t>X901.902Y828.269</t>
  </si>
  <si>
    <t>X909.539Y835.907</t>
  </si>
  <si>
    <t>X910.568Y836.215</t>
  </si>
  <si>
    <t>X918.206Y843.853</t>
  </si>
  <si>
    <t>X919.235Y844.161</t>
  </si>
  <si>
    <t>X926.872Y851.798</t>
  </si>
  <si>
    <t>X927.901Y852.107</t>
  </si>
  <si>
    <t>X935.538Y859.744</t>
  </si>
  <si>
    <t>X936.567Y860.053</t>
  </si>
  <si>
    <t>X944.204Y867.69</t>
  </si>
  <si>
    <t>X945.234Y867.999</t>
  </si>
  <si>
    <t>X952.871Y875.636</t>
  </si>
  <si>
    <t>X953.9Y875.945</t>
  </si>
  <si>
    <t>X961.537Y883.582</t>
  </si>
  <si>
    <t>X962.566Y883.891</t>
  </si>
  <si>
    <t>X970.203Y891.528</t>
  </si>
  <si>
    <t>X971.232Y891.837</t>
  </si>
  <si>
    <t>X978.87Y899.474</t>
  </si>
  <si>
    <t>X979.899Y899.782</t>
  </si>
  <si>
    <t>X987.536Y907.42</t>
  </si>
  <si>
    <t>X988.565Y907.728</t>
  </si>
  <si>
    <t>X996.202Y915.365</t>
  </si>
  <si>
    <t>X997.231Y915.674</t>
  </si>
  <si>
    <t>X1004.869Y923.311</t>
  </si>
  <si>
    <t>X1005.898Y923.62</t>
  </si>
  <si>
    <t>X1013.535Y931.257</t>
  </si>
  <si>
    <t>X1014.564Y931.566</t>
  </si>
  <si>
    <t>X1022.201Y939.203</t>
  </si>
  <si>
    <t>X1023.23Y939.512</t>
  </si>
  <si>
    <t>X1030.867Y947.149</t>
  </si>
  <si>
    <t>X1031.897Y947.458</t>
  </si>
  <si>
    <t>X1039.534Y955.095</t>
  </si>
  <si>
    <t>X1040.563Y955.404</t>
  </si>
  <si>
    <t>X1048.2Y963.041</t>
  </si>
  <si>
    <t>X1052.229Y966.35</t>
  </si>
  <si>
    <t>X1059.866Y973.987</t>
  </si>
  <si>
    <t>X1060.895Y974.295</t>
  </si>
  <si>
    <t>X1068.533Y981.933</t>
  </si>
  <si>
    <t>X1069.562Y982.241</t>
  </si>
  <si>
    <t>X1077.199Y989.878</t>
  </si>
  <si>
    <t>X1078.228Y990.187</t>
  </si>
  <si>
    <t>X1085.865Y997.824</t>
  </si>
  <si>
    <t>X1086.894Y998.133</t>
  </si>
  <si>
    <t>X1094.531Y1005.77</t>
  </si>
  <si>
    <t>X1095.561Y1006.079</t>
  </si>
  <si>
    <t>X1103.198Y1013.716</t>
  </si>
  <si>
    <t>X1104.227Y1014.025</t>
  </si>
  <si>
    <t>X1111.864Y1021.662</t>
  </si>
  <si>
    <t>X1112.893Y1021.971</t>
  </si>
  <si>
    <t>X1120.53Y1029.608</t>
  </si>
  <si>
    <t>X1121.559Y1029.917</t>
  </si>
  <si>
    <t>X1129.197Y1037.554</t>
  </si>
  <si>
    <t>X1130.226Y1037.863</t>
  </si>
  <si>
    <t>X1137.863Y1045.5</t>
  </si>
  <si>
    <t>X1138.892Y1045.808</t>
  </si>
  <si>
    <t>X1146.529Y1053.446</t>
  </si>
  <si>
    <t>X1147.558Y1053.754</t>
  </si>
  <si>
    <t>X1155.196Y1061.391</t>
  </si>
  <si>
    <t>X1156.225Y1061.7</t>
  </si>
  <si>
    <t>X1163.862Y1069.337</t>
  </si>
  <si>
    <t>X1164.891Y1069.646</t>
  </si>
  <si>
    <t>X1172.528Y1077.283</t>
  </si>
  <si>
    <t>X1173.557Y1077.592</t>
  </si>
  <si>
    <t>X1181.194Y1085.229</t>
  </si>
  <si>
    <t>X1182.224Y1085.538</t>
  </si>
  <si>
    <t>X1189.861Y1093.175</t>
  </si>
  <si>
    <t>X1190.89Y1093.484</t>
  </si>
  <si>
    <t>X1198.527Y1101.121</t>
  </si>
  <si>
    <t>X1202.556Y1104.43</t>
  </si>
  <si>
    <t>X1210.193Y1112.067</t>
  </si>
  <si>
    <t>X1211.222Y1112.376</t>
  </si>
  <si>
    <t>X1218.86Y1120.013</t>
  </si>
  <si>
    <t>X1219.889Y1120.321</t>
  </si>
  <si>
    <t>X1227.526Y1127.959</t>
  </si>
  <si>
    <t>X1228.555Y1128.267</t>
  </si>
  <si>
    <t>X1236.192Y1135.904</t>
  </si>
  <si>
    <t>X1237.221Y1136.213</t>
  </si>
  <si>
    <t>X1244.858Y1143.85</t>
  </si>
  <si>
    <t>X1245.888Y1144.159</t>
  </si>
  <si>
    <t>X1253.525Y1151.796</t>
  </si>
  <si>
    <t>X1254.554Y1152.105</t>
  </si>
  <si>
    <t>X1262.191Y1159.742</t>
  </si>
  <si>
    <t>X1263.22Y1160.051</t>
  </si>
  <si>
    <t>X1270.857Y1167.688</t>
  </si>
  <si>
    <t>X1271.887Y1167.997</t>
  </si>
  <si>
    <t>X1279.524Y1175.634</t>
  </si>
  <si>
    <t>X1280.553Y1175.943</t>
  </si>
  <si>
    <t>X1288.19Y1183.58</t>
  </si>
  <si>
    <t>X1289.219Y1183.888</t>
  </si>
  <si>
    <t>X1296.856Y1191.526</t>
  </si>
  <si>
    <t>X1297.885Y1191.834</t>
  </si>
  <si>
    <t>X1305.523Y1199.472</t>
  </si>
  <si>
    <t>X1306.552Y1199.78</t>
  </si>
  <si>
    <t>X1314.189Y1207.417</t>
  </si>
  <si>
    <t>X1315.218Y1207.726</t>
  </si>
  <si>
    <t>X1322.855Y1215.363</t>
  </si>
  <si>
    <t>X1323.884Y1215.672</t>
  </si>
  <si>
    <t>X1331.521Y1223.309</t>
  </si>
  <si>
    <t>X1332.551Y1223.618</t>
  </si>
  <si>
    <t>X1340.188Y1231.255</t>
  </si>
  <si>
    <t>X1341.217Y1231.564</t>
  </si>
  <si>
    <t>X1348.854Y1239.201</t>
  </si>
  <si>
    <t>X1352.883Y1242.51</t>
  </si>
  <si>
    <t>X1360.52Y1250.147</t>
  </si>
  <si>
    <t>X1361.549Y1250.456</t>
  </si>
  <si>
    <t>X1369.187Y1258.093</t>
  </si>
  <si>
    <t>X1370.216Y1258.401</t>
  </si>
  <si>
    <t>X1377.853Y1266.039</t>
  </si>
  <si>
    <t>X1378.882Y1266.347</t>
  </si>
  <si>
    <t>X1386.519Y1273.984</t>
  </si>
  <si>
    <t>X1387.548Y1274.293</t>
  </si>
  <si>
    <t>X1395.185Y1281.93</t>
  </si>
  <si>
    <t>X1396.215Y1282.239</t>
  </si>
  <si>
    <t>X1403.852Y1289.876</t>
  </si>
  <si>
    <t>X1404.881Y1290.185</t>
  </si>
  <si>
    <t>X1412.518Y1297.822</t>
  </si>
  <si>
    <t>X1413.547Y1298.131</t>
  </si>
  <si>
    <t>X1421.184Y1305.768</t>
  </si>
  <si>
    <t>X1422.214Y1306.077</t>
  </si>
  <si>
    <t>X1429.851Y1313.714</t>
  </si>
  <si>
    <t>X1430.88Y1314.023</t>
  </si>
  <si>
    <t>X1438.517Y1321.66</t>
  </si>
  <si>
    <t>X1439.546Y1321.969</t>
  </si>
  <si>
    <t>X1447.183Y1329.606</t>
  </si>
  <si>
    <t>X1448.212Y1329.914</t>
  </si>
  <si>
    <t>X1455.85Y1337.552</t>
  </si>
  <si>
    <t>X1456.879Y1337.86</t>
  </si>
  <si>
    <t>X1464.516Y1345.497</t>
  </si>
  <si>
    <t>X1465.545Y1345.806</t>
  </si>
  <si>
    <t>X1473.182Y1353.443</t>
  </si>
  <si>
    <t>X1474.211Y1353.752</t>
  </si>
  <si>
    <t>X1481.848Y1361.389</t>
  </si>
  <si>
    <t>X1482.878Y1361.698</t>
  </si>
  <si>
    <t>X1490.515Y1369.335</t>
  </si>
  <si>
    <t>X1491.544Y1369.644</t>
  </si>
  <si>
    <t>X1499.181Y1377.281</t>
  </si>
  <si>
    <t>X1503.21Y1380.59</t>
  </si>
  <si>
    <t>X1510.847Y1388.227</t>
  </si>
  <si>
    <t>X1511.876Y1388.536</t>
  </si>
  <si>
    <t>X1519.514Y1396.173</t>
  </si>
  <si>
    <t>X1520.543Y1396.482</t>
  </si>
  <si>
    <t>X1528.18Y1404.119</t>
  </si>
  <si>
    <t>X1529.209Y1404.427</t>
  </si>
  <si>
    <t>X1536.846Y1412.065</t>
  </si>
  <si>
    <t>X1537.875Y1412.373</t>
  </si>
  <si>
    <t>X1545.513Y1420.01</t>
  </si>
  <si>
    <t>X1546.542Y1420.319</t>
  </si>
  <si>
    <t>X1554.179Y1427.956</t>
  </si>
  <si>
    <t>X1555.208Y1428.265</t>
  </si>
  <si>
    <t>X1562.845Y1435.902</t>
  </si>
  <si>
    <t>X1563.874Y1436.211</t>
  </si>
  <si>
    <t>X1571.511Y1443.848</t>
  </si>
  <si>
    <t>X1572.541Y1444.157</t>
  </si>
  <si>
    <t>X1580.178Y1451.794</t>
  </si>
  <si>
    <t>X1581.207Y1452.103</t>
  </si>
  <si>
    <t>X1588.844Y1459.74</t>
  </si>
  <si>
    <t>X1589.873Y1460.049</t>
  </si>
  <si>
    <t>X1597.51Y1467.686</t>
  </si>
  <si>
    <t>X1598.539Y1467.995</t>
  </si>
  <si>
    <t>X1606.177Y1475.632</t>
  </si>
  <si>
    <t>X1607.206Y1475.94</t>
  </si>
  <si>
    <t>X1614.843Y1483.578</t>
  </si>
  <si>
    <t>X1615.872Y1483.886</t>
  </si>
  <si>
    <t>X1623.509Y1491.523</t>
  </si>
  <si>
    <t>X1624.538Y1491.832</t>
  </si>
  <si>
    <t>X1632.175Y1499.469</t>
  </si>
  <si>
    <t>X1633.205Y1499.778</t>
  </si>
  <si>
    <t>X1640.842Y1507.415</t>
  </si>
  <si>
    <t>X1641.871Y1507.724</t>
  </si>
  <si>
    <t>X1649.508Y1515.361</t>
  </si>
  <si>
    <t>X1653.537Y1518.67</t>
  </si>
  <si>
    <t>X1661.174Y1526.307</t>
  </si>
  <si>
    <t>X1662.204Y1526.616</t>
  </si>
  <si>
    <t>X1669.841Y1534.253</t>
  </si>
  <si>
    <t>X1670.87Y1534.562</t>
  </si>
  <si>
    <t>X1678.507Y1542.199</t>
  </si>
  <si>
    <t>X1679.536Y1542.507</t>
  </si>
  <si>
    <t>X1687.173Y1550.145</t>
  </si>
  <si>
    <t>X1688.202Y1550.453</t>
  </si>
  <si>
    <t>X1695.84Y1558.091</t>
  </si>
  <si>
    <t>X1696.869Y1558.399</t>
  </si>
  <si>
    <t>X1704.506Y1566.036</t>
  </si>
  <si>
    <t>X1705.535Y1566.345</t>
  </si>
  <si>
    <t>X1713.172Y1573.982</t>
  </si>
  <si>
    <t>X1714.201Y1574.291</t>
  </si>
  <si>
    <t>X1721.838Y1581.928</t>
  </si>
  <si>
    <t>X1722.868Y1582.237</t>
  </si>
  <si>
    <t>X1730.505Y1589.874</t>
  </si>
  <si>
    <t>X1731.534Y1590.183</t>
  </si>
  <si>
    <t>X1739.171Y1597.82</t>
  </si>
  <si>
    <t>X1740.2Y1598.129</t>
  </si>
  <si>
    <t>X1747.837Y1605.766</t>
  </si>
  <si>
    <t>X1748.866Y1606.075</t>
  </si>
  <si>
    <t>X1756.504Y1613.712</t>
  </si>
  <si>
    <t>X1757.533Y1614.02</t>
  </si>
  <si>
    <t>X1765.17Y1621.658</t>
  </si>
  <si>
    <t>X1766.199Y1621.966</t>
  </si>
  <si>
    <t>X1773.836Y1629.603</t>
  </si>
  <si>
    <t>X1774.865Y1629.912</t>
  </si>
  <si>
    <t>X1782.502Y1637.549</t>
  </si>
  <si>
    <t>X1783.532Y1637.858</t>
  </si>
  <si>
    <t>X1791.169Y1645.495</t>
  </si>
  <si>
    <t>X1792.198Y1645.804</t>
  </si>
  <si>
    <t>X1799.835Y1653.441</t>
  </si>
  <si>
    <t>X1803.864Y1656.75</t>
  </si>
  <si>
    <t>X1811.501Y1664.387</t>
  </si>
  <si>
    <t>X1812.531Y1664.696</t>
  </si>
  <si>
    <t>X1820.168Y1672.333</t>
  </si>
  <si>
    <t>X1821.197Y1672.642</t>
  </si>
  <si>
    <t>X1828.834Y1680.279</t>
  </si>
  <si>
    <t>X1829.863Y1680.588</t>
  </si>
  <si>
    <t>X1837.5Y1688.225</t>
  </si>
  <si>
    <t>X1838.529Y1688.533</t>
  </si>
  <si>
    <t>X1846.167Y1696.171</t>
  </si>
  <si>
    <t>X1847.196Y1696.479</t>
  </si>
  <si>
    <t>X1854.833Y1704.116</t>
  </si>
  <si>
    <t>X1855.862Y1704.425</t>
  </si>
  <si>
    <t>X1863.499Y1712.062</t>
  </si>
  <si>
    <t>X1864.528Y1712.371</t>
  </si>
  <si>
    <t>X1872.165Y1720.008</t>
  </si>
  <si>
    <t>X1873.195Y1720.317</t>
  </si>
  <si>
    <t>X1880.832Y1727.954</t>
  </si>
  <si>
    <t>X1881.861Y1728.263</t>
  </si>
  <si>
    <t>X1889.498Y1735.9</t>
  </si>
  <si>
    <t>X1890.527Y1736.209</t>
  </si>
  <si>
    <t>X1898.164Y1743.846</t>
  </si>
  <si>
    <t>X1899.193Y1744.155</t>
  </si>
  <si>
    <t>X1906.831Y1751.792</t>
  </si>
  <si>
    <t>X1907.86Y1752.101</t>
  </si>
  <si>
    <t>X1915.497Y1759.738</t>
  </si>
  <si>
    <t>X1916.526Y1760.046</t>
  </si>
  <si>
    <t>X1924.163Y1767.684</t>
  </si>
  <si>
    <t>X1925.192Y1767.992</t>
  </si>
  <si>
    <t>X1932.83Y1775.629</t>
  </si>
  <si>
    <t>X1933.859Y1775.938</t>
  </si>
  <si>
    <t>X1941.496Y1783.575</t>
  </si>
  <si>
    <t>X1942.525Y1783.884</t>
  </si>
  <si>
    <t>X1950.162Y1791.521</t>
  </si>
  <si>
    <t>X1954.191Y1794.83</t>
  </si>
  <si>
    <t>X1961.828Y1802.467</t>
  </si>
  <si>
    <t>X1962.858Y1802.776</t>
  </si>
  <si>
    <t>X1970.495Y1810.413</t>
  </si>
  <si>
    <t>X1971.524Y1810.722</t>
  </si>
  <si>
    <t>X1979.161Y1818.359</t>
  </si>
  <si>
    <t>X1980.19Y1818.668</t>
  </si>
  <si>
    <t>X1987.827Y1826.305</t>
  </si>
  <si>
    <t>X1988.856Y1826.614</t>
  </si>
  <si>
    <t>X1996.494Y1834.251</t>
  </si>
  <si>
    <t>X1997.523Y1834.559</t>
  </si>
  <si>
    <t>X2005.16Y1842.197</t>
  </si>
  <si>
    <t>X2006.189Y1842.505</t>
  </si>
  <si>
    <t>X2013.826Y1850.142</t>
  </si>
  <si>
    <t>X2014.855Y1850.451</t>
  </si>
  <si>
    <t>X2022.492Y1858.088</t>
  </si>
  <si>
    <t>X2023.522Y1858.397</t>
  </si>
  <si>
    <t>X2031.159Y1866.034</t>
  </si>
  <si>
    <t>X2032.188Y1866.343</t>
  </si>
  <si>
    <t>X2039.825Y1873.98</t>
  </si>
  <si>
    <t>X2040.854Y1874.289</t>
  </si>
  <si>
    <t>X2048.491Y1881.926</t>
  </si>
  <si>
    <t>X2049.52Y1882.235</t>
  </si>
  <si>
    <t>X2057.158Y1889.872</t>
  </si>
  <si>
    <t>X2058.187Y1890.181</t>
  </si>
  <si>
    <t>X2065.824Y1897.818</t>
  </si>
  <si>
    <t>X2066.853Y1898.126</t>
  </si>
  <si>
    <t>X2074.49Y1905.764</t>
  </si>
  <si>
    <t>X2075.519Y1906.072</t>
  </si>
  <si>
    <t>X2083.157Y1913.71</t>
  </si>
  <si>
    <t>X2084.186Y1914.018</t>
  </si>
  <si>
    <t>X2091.823Y1921.655</t>
  </si>
  <si>
    <t>X2092.852Y1921.964</t>
  </si>
  <si>
    <t>X2100.489Y1929.601</t>
  </si>
  <si>
    <t>X2104.518Y1932.91</t>
  </si>
  <si>
    <t>X2112.155Y1940.547</t>
  </si>
  <si>
    <t>X2113.185Y1940.856</t>
  </si>
  <si>
    <t>X2120.822Y1948.493</t>
  </si>
  <si>
    <t>X2121.851Y1948.802</t>
  </si>
  <si>
    <t>X2129.488Y1956.439</t>
  </si>
  <si>
    <t>X2130.517Y1956.748</t>
  </si>
  <si>
    <t>X2138.154Y1964.385</t>
  </si>
  <si>
    <t>X2139.183Y1964.694</t>
  </si>
  <si>
    <t>X2146.821Y1972.331</t>
  </si>
  <si>
    <t>X2147.85Y1972.639</t>
  </si>
  <si>
    <t>X2155.487Y1980.277</t>
  </si>
  <si>
    <t>X2156.516Y1980.585</t>
  </si>
  <si>
    <t>X2164.153Y1988.222</t>
  </si>
  <si>
    <t>X2165.182Y1988.531</t>
  </si>
  <si>
    <t>X2172.819Y1996.168</t>
  </si>
  <si>
    <t>X2173.849Y1996.477</t>
  </si>
  <si>
    <t>X2181.486Y2004.114</t>
  </si>
  <si>
    <t>X2182.515Y2004.423</t>
  </si>
  <si>
    <t>X2190.152Y2012.06</t>
  </si>
  <si>
    <t>X2191.181Y2012.369</t>
  </si>
  <si>
    <t>X2198.818Y2020.006</t>
  </si>
  <si>
    <t>X2199.848Y2020.315</t>
  </si>
  <si>
    <t>X2207.485Y2027.952</t>
  </si>
  <si>
    <t>X2208.514Y2028.261</t>
  </si>
  <si>
    <t>X2216.151Y2035.898</t>
  </si>
  <si>
    <t>X2217.18Y2036.207</t>
  </si>
  <si>
    <t>X2224.817Y2043.844</t>
  </si>
  <si>
    <t>X2225.846Y2044.152</t>
  </si>
  <si>
    <t>X2233.484Y2051.79</t>
  </si>
  <si>
    <t>X2234.513Y2052.098</t>
  </si>
  <si>
    <t>X2242.15Y2059.735</t>
  </si>
  <si>
    <t>X2243.179Y2060.044</t>
  </si>
  <si>
    <t>X2250.816Y2067.681</t>
  </si>
  <si>
    <t>X2254.845Y2070.99</t>
  </si>
  <si>
    <t>X2262.482Y2078.627</t>
  </si>
  <si>
    <t>X2263.512Y2078.936</t>
  </si>
  <si>
    <t>X2271.149Y2086.573</t>
  </si>
  <si>
    <t>X2272.178Y2086.882</t>
  </si>
  <si>
    <t>X2279.815Y2094.519</t>
  </si>
  <si>
    <t>X2280.844Y2094.828</t>
  </si>
  <si>
    <t>X2288.481Y2102.465</t>
  </si>
  <si>
    <t>X2289.51Y2102.774</t>
  </si>
  <si>
    <t>X2297.148Y2110.411</t>
  </si>
  <si>
    <t>X2298.177Y2110.72</t>
  </si>
  <si>
    <t>X2305.814Y2118.357</t>
  </si>
  <si>
    <t>X2306.843Y2118.665</t>
  </si>
  <si>
    <t>X2314.48Y2126.303</t>
  </si>
  <si>
    <t>X2315.509Y2126.611</t>
  </si>
  <si>
    <t>X2323.146Y2134.248</t>
  </si>
  <si>
    <t>X2324.176Y2134.557</t>
  </si>
  <si>
    <t>X2331.813Y2142.194</t>
  </si>
  <si>
    <t>X2332.842Y2142.503</t>
  </si>
  <si>
    <t>X2340.479Y2150.14</t>
  </si>
  <si>
    <t>X2341.508Y2150.449</t>
  </si>
  <si>
    <t>X2349.145Y2158.086</t>
  </si>
  <si>
    <t>X2350.175Y2158.395</t>
  </si>
  <si>
    <t>X2357.812Y2166.032</t>
  </si>
  <si>
    <t>X2358.841Y2166.341</t>
  </si>
  <si>
    <t>X2366.478Y2173.978</t>
  </si>
  <si>
    <t>X2367.507Y2174.287</t>
  </si>
  <si>
    <t>X2375.144Y2181.924</t>
  </si>
  <si>
    <t>X2376.173Y2182.233</t>
  </si>
  <si>
    <t>X2383.811Y2189.87</t>
  </si>
  <si>
    <t>X2384.84Y2190.178</t>
  </si>
  <si>
    <t>X2392.477Y2197.816</t>
  </si>
  <si>
    <t>X2393.506Y2198.124</t>
  </si>
  <si>
    <t>X2401.143Y2205.761</t>
  </si>
  <si>
    <t>X2405.172Y2209.07</t>
  </si>
  <si>
    <t>X2412.809Y2216.707</t>
  </si>
  <si>
    <t>X2413.839Y2217.016</t>
  </si>
  <si>
    <t>X2421.476Y2224.653</t>
  </si>
  <si>
    <t>X2422.505Y2224.962</t>
  </si>
  <si>
    <t>X2430.142Y2232.599</t>
  </si>
  <si>
    <t>X2431.171Y2232.908</t>
  </si>
  <si>
    <t>X2438.808Y2240.545</t>
  </si>
  <si>
    <t>X2439.837Y2240.854</t>
  </si>
  <si>
    <t>X2447.475Y2248.491</t>
  </si>
  <si>
    <t>X2448.504Y2248.8</t>
  </si>
  <si>
    <t>X2456.141Y2256.437</t>
  </si>
  <si>
    <t>X2457.17Y2256.745</t>
  </si>
  <si>
    <t>X2464.807Y2264.383</t>
  </si>
  <si>
    <t>X2465.836Y2264.691</t>
  </si>
  <si>
    <t>X2473.474Y2272.329</t>
  </si>
  <si>
    <t>X2474.503Y2272.637</t>
  </si>
  <si>
    <t>X2482.14Y2280.274</t>
  </si>
  <si>
    <t>X2483.169Y2280.583</t>
  </si>
  <si>
    <t>X2490.806Y2288.22</t>
  </si>
  <si>
    <t>X2491.835Y2288.529</t>
  </si>
  <si>
    <t>X2499.472Y2296.166</t>
  </si>
  <si>
    <t>X2500.502Y2296.475</t>
  </si>
  <si>
    <t>X2508.139Y2304.112</t>
  </si>
  <si>
    <t>X2509.168Y2304.421</t>
  </si>
  <si>
    <t>X2516.805Y2312.058</t>
  </si>
  <si>
    <t>X2517.834Y2312.367</t>
  </si>
  <si>
    <t>X2525.471Y2320.004</t>
  </si>
  <si>
    <t>X2526.5Y2320.313</t>
  </si>
  <si>
    <t>X2534.138Y2327.95</t>
  </si>
  <si>
    <t>X2535.167Y2328.258</t>
  </si>
  <si>
    <t>X2542.804Y2335.896</t>
  </si>
  <si>
    <t>X2543.833Y2336.204</t>
  </si>
  <si>
    <t>X2551.47Y2343.842</t>
  </si>
  <si>
    <t>X2555.499Y2347.15</t>
  </si>
  <si>
    <t>X2563.136Y2354.787</t>
  </si>
  <si>
    <t>X2564.166Y2355.096</t>
  </si>
  <si>
    <t>X2571.803Y2362.733</t>
  </si>
  <si>
    <t>X2572.832Y2363.042</t>
  </si>
  <si>
    <t>X2580.469Y2370.679</t>
  </si>
  <si>
    <t>X2581.498Y2370.988</t>
  </si>
  <si>
    <t>X2589.135Y2378.625</t>
  </si>
  <si>
    <t>X2590.165Y2378.934</t>
  </si>
  <si>
    <t>X2597.802Y2386.571</t>
  </si>
  <si>
    <t>X2598.831Y2386.88</t>
  </si>
  <si>
    <t>X2606.468Y2394.517</t>
  </si>
  <si>
    <t>X2607.497Y2394.826</t>
  </si>
  <si>
    <t>X2615.134Y2402.463</t>
  </si>
  <si>
    <t>X2616.163Y2402.771</t>
  </si>
  <si>
    <t>X2623.801Y2410.409</t>
  </si>
  <si>
    <t>X2624.83Y2410.717</t>
  </si>
  <si>
    <t>X2632.467Y2418.354</t>
  </si>
  <si>
    <t>X2633.496Y2418.663</t>
  </si>
  <si>
    <t>X2641.133Y2426.3</t>
  </si>
  <si>
    <t>X2642.162Y2426.609</t>
  </si>
  <si>
    <t>X2649.799Y2434.246</t>
  </si>
  <si>
    <t>X2650.829Y2434.555</t>
  </si>
  <si>
    <t>X2658.466Y2442.192</t>
  </si>
  <si>
    <t>X2659.495Y2442.501</t>
  </si>
  <si>
    <t>X2667.132Y2450.138</t>
  </si>
  <si>
    <t>X2668.161Y2450.447</t>
  </si>
  <si>
    <t>X2675.798Y2458.084</t>
  </si>
  <si>
    <t>X2676.827Y2458.393</t>
  </si>
  <si>
    <t>X2684.465Y2466.03</t>
  </si>
  <si>
    <t>X2685.494Y2466.339</t>
  </si>
  <si>
    <t>X2693.131Y2473.976</t>
  </si>
  <si>
    <t>X2694.16Y2474.284</t>
  </si>
  <si>
    <t>X2701.797Y2481.922</t>
  </si>
  <si>
    <t>X2705.826Y2485.23</t>
  </si>
  <si>
    <t>X15.124Y14.822</t>
  </si>
  <si>
    <t>X17.183Y15.44</t>
  </si>
  <si>
    <t>X32.367Y30.624</t>
  </si>
  <si>
    <t>X34.425Y31.242</t>
  </si>
  <si>
    <t>X49.609Y46.426</t>
  </si>
  <si>
    <t>X51.668Y47.043</t>
  </si>
  <si>
    <t>X66.852Y62.228</t>
  </si>
  <si>
    <t>X68.91Y62.845</t>
  </si>
  <si>
    <t>X84.095Y78.029</t>
  </si>
  <si>
    <t>X92.153Y84.647</t>
  </si>
  <si>
    <t>X107.337Y99.831</t>
  </si>
  <si>
    <t>X109.396Y100.449</t>
  </si>
  <si>
    <t>X124.58Y115.633</t>
  </si>
  <si>
    <t>X126.638Y116.251</t>
  </si>
  <si>
    <t>X141.822Y131.435</t>
  </si>
  <si>
    <t>X143.881Y132.052</t>
  </si>
  <si>
    <t>X159.065Y147.237</t>
  </si>
  <si>
    <t>X161.123Y147.854</t>
  </si>
  <si>
    <t>X176.308Y163.038</t>
  </si>
  <si>
    <t>X184.366Y169.656</t>
  </si>
  <si>
    <t>X199.55Y184.84</t>
  </si>
  <si>
    <t>X201.608Y185.458</t>
  </si>
  <si>
    <t>X216.793Y200.642</t>
  </si>
  <si>
    <t>X218.851Y201.259</t>
  </si>
  <si>
    <t>X234.035Y216.444</t>
  </si>
  <si>
    <t>X236.094Y217.061</t>
  </si>
  <si>
    <t>X251.278Y232.245</t>
  </si>
  <si>
    <t>X253.336Y232.863</t>
  </si>
  <si>
    <t>X268.521Y248.047</t>
  </si>
  <si>
    <t>X276.579Y254.665</t>
  </si>
  <si>
    <t>X291.763Y269.849</t>
  </si>
  <si>
    <t>X293.821Y270.466</t>
  </si>
  <si>
    <t>X309.006Y285.651</t>
  </si>
  <si>
    <t>X311.064Y286.268</t>
  </si>
  <si>
    <t>X326.248Y301.453</t>
  </si>
  <si>
    <t>X328.307Y302.07</t>
  </si>
  <si>
    <t>X343.491Y317.254</t>
  </si>
  <si>
    <t>X345.549Y317.872</t>
  </si>
  <si>
    <t>X360.733Y333.056</t>
  </si>
  <si>
    <t>X368.792Y339.674</t>
  </si>
  <si>
    <t>X383.976Y354.858</t>
  </si>
  <si>
    <t>X386.034Y355.475</t>
  </si>
  <si>
    <t>X401.219Y370.66</t>
  </si>
  <si>
    <t>X403.277Y371.277</t>
  </si>
  <si>
    <t>X418.461Y386.461</t>
  </si>
  <si>
    <t>X420.52Y387.079</t>
  </si>
  <si>
    <t>X435.704Y402.263</t>
  </si>
  <si>
    <t>X437.762Y402.881</t>
  </si>
  <si>
    <t>X452.946Y418.065</t>
  </si>
  <si>
    <t>X461.005Y424.682</t>
  </si>
  <si>
    <t>X476.189Y439.867</t>
  </si>
  <si>
    <t>X478.247Y440.484</t>
  </si>
  <si>
    <t>X493.432Y455.668</t>
  </si>
  <si>
    <t>X495.49Y456.286</t>
  </si>
  <si>
    <t>X510.674Y471.47</t>
  </si>
  <si>
    <t>X512.733Y472.088</t>
  </si>
  <si>
    <t>X527.917Y487.272</t>
  </si>
  <si>
    <t>X529.975Y487.89</t>
  </si>
  <si>
    <t>X545.159Y503.074</t>
  </si>
  <si>
    <t>X553.218Y509.691</t>
  </si>
  <si>
    <t>X568.402Y524.876</t>
  </si>
  <si>
    <t>X570.46Y525.493</t>
  </si>
  <si>
    <t>X585.645Y540.677</t>
  </si>
  <si>
    <t>X587.703Y541.295</t>
  </si>
  <si>
    <t>X602.887Y556.479</t>
  </si>
  <si>
    <t>X604.945Y557.097</t>
  </si>
  <si>
    <t>X620.13Y572.281</t>
  </si>
  <si>
    <t>X622.188Y572.898</t>
  </si>
  <si>
    <t>X637.372Y588.083</t>
  </si>
  <si>
    <t>X645.431Y594.7</t>
  </si>
  <si>
    <t>X660.615Y609.884</t>
  </si>
  <si>
    <t>X662.673Y610.502</t>
  </si>
  <si>
    <t>X677.858Y625.686</t>
  </si>
  <si>
    <t>X679.916Y626.304</t>
  </si>
  <si>
    <t>X695.1Y641.488</t>
  </si>
  <si>
    <t>X697.158Y642.105</t>
  </si>
  <si>
    <t>X712.343Y657.29</t>
  </si>
  <si>
    <t>X714.401Y657.907</t>
  </si>
  <si>
    <t>X729.585Y673.092</t>
  </si>
  <si>
    <t>X737.644Y679.709</t>
  </si>
  <si>
    <t>X752.828Y694.893</t>
  </si>
  <si>
    <t>X754.886Y695.511</t>
  </si>
  <si>
    <t>X770.07Y710.695</t>
  </si>
  <si>
    <t>X772.129Y711.313</t>
  </si>
  <si>
    <t>X787.313Y726.497</t>
  </si>
  <si>
    <t>X789.371Y727.114</t>
  </si>
  <si>
    <t>X804.556Y742.299</t>
  </si>
  <si>
    <t>X806.614Y742.916</t>
  </si>
  <si>
    <t>X821.798Y758.1</t>
  </si>
  <si>
    <t>X829.857Y764.718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</si>
</sst>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8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20"/>
      <color indexed="8"/>
      <name val="Calibri"/>
      <family val="2"/>
    </font>
    <font>
      <b/>
      <sz val="14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2780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2" fontId="1" fillId="0" borderId="0" xfId="0" applyNumberFormat="1" applyFont="1"/>
    <xf numFmtId="2" fontId="1" fillId="0" borderId="1" xfId="0" applyNumberFormat="1" applyFont="1" applyBorder="1"/>
    <xf numFmtId="2" fontId="1" fillId="0" borderId="2" xfId="0" applyNumberFormat="1" applyFont="1" applyBorder="1"/>
    <xf numFmtId="164" fontId="1" fillId="0" borderId="3" xfId="0" applyNumberFormat="1" applyFont="1" applyBorder="1"/>
    <xf numFmtId="164" fontId="1" fillId="0" borderId="3" xfId="0" applyNumberFormat="1" applyFont="1" applyFill="1" applyBorder="1"/>
    <xf numFmtId="0" fontId="1" fillId="0" borderId="3" xfId="0" applyFont="1" applyBorder="1"/>
    <xf numFmtId="0" fontId="2" fillId="0" borderId="4" xfId="0" applyFont="1" applyBorder="1"/>
    <xf numFmtId="0" fontId="2" fillId="0" borderId="0" xfId="0" applyFont="1"/>
    <xf numFmtId="164" fontId="1" fillId="0" borderId="5" xfId="0" applyNumberFormat="1" applyFont="1" applyBorder="1"/>
    <xf numFmtId="0" fontId="1" fillId="0" borderId="5" xfId="0" applyFont="1" applyBorder="1"/>
    <xf numFmtId="164" fontId="2" fillId="0" borderId="0" xfId="0" applyNumberFormat="1" applyFont="1"/>
    <xf numFmtId="0" fontId="1" fillId="0" borderId="6" xfId="0" applyFont="1" applyFill="1" applyBorder="1"/>
    <xf numFmtId="2" fontId="3" fillId="0" borderId="0" xfId="0" applyNumberFormat="1" applyFont="1"/>
    <xf numFmtId="2" fontId="4" fillId="2" borderId="7" xfId="0" applyNumberFormat="1" applyFont="1" applyFill="1" applyBorder="1"/>
    <xf numFmtId="10" fontId="4" fillId="0" borderId="8" xfId="0" applyNumberFormat="1" applyFont="1" applyBorder="1"/>
    <xf numFmtId="164" fontId="1" fillId="0" borderId="9" xfId="0" applyNumberFormat="1" applyFont="1" applyBorder="1"/>
    <xf numFmtId="164" fontId="1" fillId="0" borderId="9" xfId="0" applyNumberFormat="1" applyFont="1" applyFill="1" applyBorder="1"/>
    <xf numFmtId="10" fontId="2" fillId="0" borderId="9" xfId="0" applyNumberFormat="1" applyFont="1" applyBorder="1"/>
    <xf numFmtId="10" fontId="2" fillId="0" borderId="10" xfId="0" applyNumberFormat="1" applyFont="1" applyBorder="1"/>
    <xf numFmtId="2" fontId="5" fillId="0" borderId="0" xfId="0" applyNumberFormat="1" applyFont="1"/>
    <xf numFmtId="164" fontId="1" fillId="0" borderId="0" xfId="0" applyNumberFormat="1" applyFont="1" applyBorder="1"/>
    <xf numFmtId="0" fontId="1" fillId="0" borderId="0" xfId="0" applyFont="1" applyBorder="1"/>
    <xf numFmtId="0" fontId="1" fillId="0" borderId="0" xfId="0" applyFont="1" applyFill="1" applyBorder="1"/>
    <xf numFmtId="2" fontId="3" fillId="3" borderId="11" xfId="0" applyNumberFormat="1" applyFont="1" applyFill="1" applyBorder="1"/>
    <xf numFmtId="0" fontId="3" fillId="3" borderId="12" xfId="0" applyNumberFormat="1" applyFont="1" applyFill="1" applyBorder="1"/>
    <xf numFmtId="164" fontId="2" fillId="3" borderId="11" xfId="0" applyNumberFormat="1" applyFont="1" applyFill="1" applyBorder="1"/>
    <xf numFmtId="10" fontId="2" fillId="3" borderId="12" xfId="0" applyNumberFormat="1" applyFont="1" applyFill="1" applyBorder="1"/>
    <xf numFmtId="0" fontId="2" fillId="3" borderId="12" xfId="0" applyNumberFormat="1" applyFont="1" applyFill="1" applyBorder="1"/>
    <xf numFmtId="2" fontId="3" fillId="4" borderId="0" xfId="0" applyNumberFormat="1" applyFont="1" applyFill="1"/>
    <xf numFmtId="2" fontId="3" fillId="3" borderId="0" xfId="0" applyNumberFormat="1" applyFont="1" applyFill="1" applyBorder="1"/>
    <xf numFmtId="0" fontId="3" fillId="3" borderId="0" xfId="0" applyNumberFormat="1" applyFont="1" applyFill="1" applyBorder="1"/>
    <xf numFmtId="164" fontId="2" fillId="3" borderId="13" xfId="0" applyNumberFormat="1" applyFont="1" applyFill="1" applyBorder="1"/>
    <xf numFmtId="0" fontId="2" fillId="3" borderId="14" xfId="0" applyNumberFormat="1" applyFont="1" applyFill="1" applyBorder="1"/>
    <xf numFmtId="2" fontId="2" fillId="3" borderId="12" xfId="0" applyNumberFormat="1" applyFont="1" applyFill="1" applyBorder="1"/>
    <xf numFmtId="164" fontId="2" fillId="3" borderId="0" xfId="0" applyNumberFormat="1" applyFont="1" applyFill="1" applyBorder="1"/>
    <xf numFmtId="10" fontId="2" fillId="3" borderId="0" xfId="0" applyNumberFormat="1" applyFont="1" applyFill="1" applyBorder="1"/>
    <xf numFmtId="0" fontId="3" fillId="0" borderId="0" xfId="0" applyNumberFormat="1" applyFon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4</xdr:row>
          <xdr:rowOff>38100</xdr:rowOff>
        </xdr:from>
        <xdr:to>
          <xdr:col>11</xdr:col>
          <xdr:colOff>1152525</xdr:colOff>
          <xdr:row>5</xdr:row>
          <xdr:rowOff>228600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1066800</xdr:colOff>
          <xdr:row>5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6B15AD81-3027-4B8B-B814-B6EECCEA1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4</xdr:row>
          <xdr:rowOff>38100</xdr:rowOff>
        </xdr:from>
        <xdr:to>
          <xdr:col>11</xdr:col>
          <xdr:colOff>1152525</xdr:colOff>
          <xdr:row>5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1066800</xdr:colOff>
          <xdr:row>5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6B15AD81-3027-4B8B-B814-B6EECCEA1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236"/>
  <sheetViews>
    <sheetView workbookViewId="0">
      <selection activeCell="A6" sqref="A6"/>
    </sheetView>
  </sheetViews>
  <sheetFormatPr defaultRowHeight="15" x14ac:dyDescent="0.25"/>
  <cols>
    <col min="1" max="1" width="23.28515625" bestFit="1" customWidth="1"/>
    <col min="2" max="2" width="16" bestFit="1" customWidth="1"/>
    <col min="3" max="3" width="25" bestFit="1" customWidth="1"/>
    <col min="4" max="4" width="12.85546875" bestFit="1" customWidth="1"/>
    <col min="5" max="5" width="15.42578125" bestFit="1" customWidth="1"/>
    <col min="6" max="6" width="30.85546875" bestFit="1" customWidth="1"/>
    <col min="7" max="7" width="11.5703125" bestFit="1" customWidth="1"/>
    <col min="9" max="9" width="16.140625" bestFit="1" customWidth="1"/>
    <col min="10" max="10" width="5.5703125" bestFit="1" customWidth="1"/>
    <col min="11" max="11" width="12.7109375" bestFit="1" customWidth="1"/>
    <col min="12" max="12" width="18.7109375" bestFit="1" customWidth="1"/>
    <col min="13" max="13" width="5.5703125" bestFit="1" customWidth="1"/>
    <col min="14" max="14" width="18.7109375" bestFit="1" customWidth="1"/>
    <col min="15" max="15" width="5" bestFit="1" customWidth="1"/>
    <col min="16" max="16" width="2" bestFit="1" customWidth="1"/>
  </cols>
  <sheetData>
    <row r="1" spans="1:16" ht="23.25" x14ac:dyDescent="0.35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5</v>
      </c>
      <c r="G1" s="7" t="s">
        <v>6</v>
      </c>
      <c r="H1" s="8"/>
      <c r="I1" s="9" t="s">
        <v>7</v>
      </c>
      <c r="J1" s="9"/>
      <c r="K1" s="10" t="s">
        <v>8</v>
      </c>
      <c r="L1" s="10" t="s">
        <v>9</v>
      </c>
      <c r="M1" s="11"/>
      <c r="N1" s="10" t="s">
        <v>10</v>
      </c>
      <c r="O1" s="8"/>
      <c r="P1" s="12"/>
    </row>
    <row r="2" spans="1:16" ht="27" thickBot="1" x14ac:dyDescent="0.45">
      <c r="A2" s="13"/>
      <c r="B2" s="14">
        <v>3</v>
      </c>
      <c r="C2" s="15">
        <v>0.91</v>
      </c>
      <c r="D2" s="16">
        <v>0.98</v>
      </c>
      <c r="E2" s="17">
        <v>0.03</v>
      </c>
      <c r="F2" s="18">
        <v>0.12</v>
      </c>
      <c r="G2" s="19">
        <v>0.3</v>
      </c>
      <c r="H2" s="8"/>
      <c r="I2" s="9">
        <f>(B2*3.1415*C2)-K2</f>
        <v>7.5471395999999995</v>
      </c>
      <c r="J2" s="9"/>
      <c r="K2" s="9">
        <f>(B2*3.1415*C2)*F2</f>
        <v>1.0291554000000001</v>
      </c>
      <c r="L2" s="10">
        <f>I2*D2</f>
        <v>7.3961968079999991</v>
      </c>
      <c r="M2" s="11"/>
      <c r="N2" s="10">
        <f>K2*G2</f>
        <v>0.30874662000000003</v>
      </c>
      <c r="O2" s="8"/>
      <c r="P2" s="12"/>
    </row>
    <row r="3" spans="1:16" ht="24" thickBot="1" x14ac:dyDescent="0.4">
      <c r="A3" s="13"/>
      <c r="B3" s="13"/>
      <c r="C3" s="13" t="str">
        <f>"X " &amp;I2&amp;" Y "&amp;L2</f>
        <v>X 7.5471396 Y 7.396196808</v>
      </c>
      <c r="D3" s="11"/>
      <c r="E3" s="11"/>
      <c r="F3" s="20" t="str">
        <f>"X " &amp;K2&amp;" Y "&amp;N2</f>
        <v>X 1.0291554 Y 0.30874662</v>
      </c>
      <c r="G3" s="8"/>
      <c r="H3" s="8"/>
      <c r="I3" s="21"/>
      <c r="J3" s="21"/>
      <c r="K3" s="22"/>
      <c r="L3" s="22"/>
      <c r="M3" s="21"/>
      <c r="N3" s="22"/>
      <c r="O3" s="23"/>
      <c r="P3" s="23"/>
    </row>
    <row r="4" spans="1:16" ht="24" thickBot="1" x14ac:dyDescent="0.4">
      <c r="A4" s="8"/>
      <c r="B4" s="24" t="s">
        <v>11</v>
      </c>
      <c r="C4" s="25">
        <v>600</v>
      </c>
      <c r="D4" s="11"/>
      <c r="E4" s="26" t="s">
        <v>12</v>
      </c>
      <c r="F4" s="27">
        <v>1</v>
      </c>
      <c r="G4" s="8"/>
      <c r="H4" s="8"/>
      <c r="I4" s="21"/>
      <c r="J4" s="21"/>
      <c r="K4" s="22"/>
      <c r="L4" s="22"/>
      <c r="M4" s="21"/>
      <c r="N4" s="22"/>
      <c r="O4" s="23"/>
      <c r="P4" s="23"/>
    </row>
    <row r="5" spans="1:16" ht="24" thickBot="1" x14ac:dyDescent="0.4">
      <c r="A5" s="8"/>
      <c r="B5" s="24" t="s">
        <v>13</v>
      </c>
      <c r="C5" s="25">
        <v>1200</v>
      </c>
      <c r="D5" s="11"/>
      <c r="E5" s="26" t="s">
        <v>14</v>
      </c>
      <c r="F5" s="28">
        <v>17</v>
      </c>
      <c r="G5" s="8"/>
      <c r="H5" s="8"/>
      <c r="I5" s="21"/>
      <c r="J5" s="21"/>
      <c r="K5" s="22"/>
      <c r="L5" s="22"/>
      <c r="M5" s="21"/>
      <c r="N5" s="22"/>
      <c r="O5" s="23"/>
      <c r="P5" s="23"/>
    </row>
    <row r="6" spans="1:16" ht="24" thickBot="1" x14ac:dyDescent="0.4">
      <c r="A6" s="29" t="s">
        <v>15</v>
      </c>
      <c r="B6" s="30"/>
      <c r="C6" s="31"/>
      <c r="D6" s="11"/>
      <c r="E6" s="32" t="s">
        <v>16</v>
      </c>
      <c r="F6" s="33">
        <v>17</v>
      </c>
      <c r="G6" s="8"/>
      <c r="H6" s="8"/>
      <c r="I6" s="21"/>
      <c r="J6" s="21"/>
      <c r="K6" s="22"/>
      <c r="L6" s="22"/>
      <c r="M6" s="21"/>
      <c r="N6" s="22"/>
      <c r="O6" s="23"/>
      <c r="P6" s="23"/>
    </row>
    <row r="7" spans="1:16" ht="24" thickBot="1" x14ac:dyDescent="0.4">
      <c r="A7" s="29" t="s">
        <v>17</v>
      </c>
      <c r="B7" s="30"/>
      <c r="C7" s="31"/>
      <c r="D7" s="11"/>
      <c r="E7" s="26" t="s">
        <v>18</v>
      </c>
      <c r="F7" s="34">
        <f>B162</f>
        <v>54.23</v>
      </c>
      <c r="G7" s="8"/>
      <c r="H7" s="8"/>
      <c r="I7" s="21"/>
      <c r="J7" s="21"/>
      <c r="K7" s="22"/>
      <c r="L7" s="22"/>
      <c r="M7" s="21"/>
      <c r="N7" s="22"/>
      <c r="O7" s="23"/>
      <c r="P7" s="23"/>
    </row>
    <row r="8" spans="1:16" ht="23.25" x14ac:dyDescent="0.35">
      <c r="A8" s="29" t="s">
        <v>19</v>
      </c>
      <c r="B8" s="30"/>
      <c r="C8" s="31"/>
      <c r="D8" s="11"/>
      <c r="E8" s="35"/>
      <c r="F8" s="36"/>
      <c r="G8" s="8"/>
      <c r="H8" s="8"/>
      <c r="I8" s="21"/>
      <c r="J8" s="21"/>
      <c r="K8" s="22"/>
      <c r="L8" s="22"/>
      <c r="M8" s="21"/>
      <c r="N8" s="22"/>
      <c r="O8" s="23"/>
      <c r="P8" s="23"/>
    </row>
    <row r="9" spans="1:16" ht="23.25" x14ac:dyDescent="0.35">
      <c r="A9" s="29" t="str">
        <f>"G1X0.0Y0.0F"&amp;C4</f>
        <v>G1X0.0Y0.0F600</v>
      </c>
      <c r="B9" s="13" t="s">
        <v>20</v>
      </c>
      <c r="C9" s="37"/>
      <c r="D9" s="11" t="s">
        <v>21</v>
      </c>
      <c r="E9" s="11" t="s">
        <v>22</v>
      </c>
      <c r="F9" s="8"/>
      <c r="G9" s="8"/>
      <c r="H9" s="8"/>
      <c r="I9" s="21"/>
      <c r="J9" s="21"/>
      <c r="K9" s="22"/>
      <c r="L9" s="22"/>
      <c r="M9" s="21"/>
      <c r="N9" s="22"/>
      <c r="O9" s="23"/>
      <c r="P9" s="23"/>
    </row>
    <row r="10" spans="1:16" x14ac:dyDescent="0.25">
      <c r="A10" t="s">
        <v>637</v>
      </c>
      <c r="B10">
        <v>0.63</v>
      </c>
      <c r="C10" t="s">
        <v>23</v>
      </c>
      <c r="D10">
        <v>7.5771398464967969</v>
      </c>
      <c r="E10">
        <v>7.426197193503719</v>
      </c>
      <c r="F10">
        <v>10</v>
      </c>
      <c r="G10">
        <v>1</v>
      </c>
      <c r="H10">
        <v>1</v>
      </c>
    </row>
    <row r="11" spans="1:16" x14ac:dyDescent="0.25">
      <c r="A11" s="38" t="s">
        <v>638</v>
      </c>
      <c r="B11" s="38">
        <v>0.68</v>
      </c>
      <c r="C11" s="38" t="s">
        <v>89</v>
      </c>
      <c r="D11" s="38">
        <v>8.6062952464967974</v>
      </c>
      <c r="E11" s="38">
        <v>7.7349438257722074</v>
      </c>
      <c r="F11" s="38">
        <v>11</v>
      </c>
      <c r="G11" s="38">
        <v>1</v>
      </c>
      <c r="H11" s="38">
        <v>1</v>
      </c>
      <c r="I11" s="38"/>
      <c r="J11" s="38"/>
      <c r="K11" s="38"/>
      <c r="L11" s="38"/>
      <c r="M11" s="38"/>
    </row>
    <row r="12" spans="1:16" x14ac:dyDescent="0.25">
      <c r="A12" t="s">
        <v>639</v>
      </c>
      <c r="B12">
        <v>1.32</v>
      </c>
      <c r="C12" t="s">
        <v>90</v>
      </c>
      <c r="D12">
        <v>16.24343509165249</v>
      </c>
      <c r="E12">
        <v>15.3720836709279</v>
      </c>
      <c r="F12">
        <v>12</v>
      </c>
      <c r="G12">
        <v>2</v>
      </c>
      <c r="H12">
        <v>2</v>
      </c>
    </row>
    <row r="13" spans="1:16" x14ac:dyDescent="0.25">
      <c r="A13" s="38" t="s">
        <v>640</v>
      </c>
      <c r="B13" s="38">
        <v>1.37</v>
      </c>
      <c r="C13" s="38" t="s">
        <v>91</v>
      </c>
      <c r="D13" s="38">
        <v>17.27259049165249</v>
      </c>
      <c r="E13" s="38">
        <v>15.680830303196387</v>
      </c>
      <c r="F13" s="38">
        <v>13</v>
      </c>
      <c r="G13" s="38">
        <v>2</v>
      </c>
      <c r="H13" s="38">
        <v>2</v>
      </c>
      <c r="I13" s="38"/>
      <c r="J13" s="38"/>
      <c r="K13" s="38"/>
      <c r="L13" s="38"/>
      <c r="M13" s="38"/>
    </row>
    <row r="14" spans="1:16" x14ac:dyDescent="0.25">
      <c r="A14" t="s">
        <v>641</v>
      </c>
      <c r="B14">
        <v>2.0099999999999998</v>
      </c>
      <c r="C14" t="s">
        <v>92</v>
      </c>
      <c r="D14">
        <v>24.909730336808181</v>
      </c>
      <c r="E14">
        <v>23.317970148352082</v>
      </c>
      <c r="F14">
        <v>14</v>
      </c>
      <c r="G14">
        <v>3</v>
      </c>
      <c r="H14">
        <v>3</v>
      </c>
    </row>
    <row r="15" spans="1:16" x14ac:dyDescent="0.25">
      <c r="A15" s="38" t="s">
        <v>642</v>
      </c>
      <c r="B15" s="38">
        <v>2.0699999999999998</v>
      </c>
      <c r="C15" s="38" t="s">
        <v>93</v>
      </c>
      <c r="D15" s="38">
        <v>25.938885736808182</v>
      </c>
      <c r="E15" s="38">
        <v>23.626716780620569</v>
      </c>
      <c r="F15" s="38">
        <v>15</v>
      </c>
      <c r="G15" s="38">
        <v>3</v>
      </c>
      <c r="H15" s="38">
        <v>3</v>
      </c>
      <c r="I15" s="38"/>
      <c r="J15" s="38"/>
      <c r="K15" s="38"/>
      <c r="L15" s="38"/>
      <c r="M15" s="38"/>
    </row>
    <row r="16" spans="1:16" x14ac:dyDescent="0.25">
      <c r="A16" t="s">
        <v>643</v>
      </c>
      <c r="B16">
        <v>2.7</v>
      </c>
      <c r="C16" t="s">
        <v>94</v>
      </c>
      <c r="D16">
        <v>33.576025581963876</v>
      </c>
      <c r="E16">
        <v>31.263856625776263</v>
      </c>
      <c r="F16">
        <v>16</v>
      </c>
      <c r="G16">
        <v>4</v>
      </c>
      <c r="H16">
        <v>4</v>
      </c>
    </row>
    <row r="17" spans="1:13" x14ac:dyDescent="0.25">
      <c r="A17" s="38" t="s">
        <v>644</v>
      </c>
      <c r="B17" s="38">
        <v>2.76</v>
      </c>
      <c r="C17" s="38" t="s">
        <v>95</v>
      </c>
      <c r="D17" s="38">
        <v>34.605180981963876</v>
      </c>
      <c r="E17" s="38">
        <v>31.572603258044751</v>
      </c>
      <c r="F17" s="38">
        <v>17</v>
      </c>
      <c r="G17" s="38">
        <v>4</v>
      </c>
      <c r="H17" s="38">
        <v>4</v>
      </c>
      <c r="I17" s="38"/>
      <c r="J17" s="38"/>
      <c r="K17" s="38"/>
      <c r="L17" s="38"/>
      <c r="M17" s="38"/>
    </row>
    <row r="18" spans="1:13" x14ac:dyDescent="0.25">
      <c r="A18" t="s">
        <v>645</v>
      </c>
      <c r="B18">
        <v>3.39</v>
      </c>
      <c r="C18" t="s">
        <v>96</v>
      </c>
      <c r="D18">
        <v>42.24232082711957</v>
      </c>
      <c r="E18">
        <v>39.209743103200445</v>
      </c>
      <c r="F18">
        <v>18</v>
      </c>
      <c r="G18">
        <v>5</v>
      </c>
      <c r="H18">
        <v>5</v>
      </c>
    </row>
    <row r="19" spans="1:13" x14ac:dyDescent="0.25">
      <c r="A19" s="38" t="s">
        <v>646</v>
      </c>
      <c r="B19" s="38">
        <v>3.45</v>
      </c>
      <c r="C19" s="38" t="s">
        <v>97</v>
      </c>
      <c r="D19" s="38">
        <v>43.271476227119571</v>
      </c>
      <c r="E19" s="38">
        <v>39.518489735468933</v>
      </c>
      <c r="F19" s="38">
        <v>19</v>
      </c>
      <c r="G19" s="38">
        <v>5</v>
      </c>
      <c r="H19" s="38">
        <v>5</v>
      </c>
      <c r="I19" s="38"/>
      <c r="J19" s="38"/>
      <c r="K19" s="38"/>
      <c r="L19" s="38"/>
      <c r="M19" s="38"/>
    </row>
    <row r="20" spans="1:13" x14ac:dyDescent="0.25">
      <c r="A20" t="s">
        <v>647</v>
      </c>
      <c r="B20">
        <v>4.09</v>
      </c>
      <c r="C20" t="s">
        <v>98</v>
      </c>
      <c r="D20">
        <v>50.908616072275265</v>
      </c>
      <c r="E20">
        <v>47.155629580624627</v>
      </c>
      <c r="F20">
        <v>20</v>
      </c>
      <c r="G20">
        <v>6</v>
      </c>
      <c r="H20">
        <v>6</v>
      </c>
    </row>
    <row r="21" spans="1:13" x14ac:dyDescent="0.25">
      <c r="A21" s="38" t="s">
        <v>648</v>
      </c>
      <c r="B21" s="38">
        <v>4.1399999999999997</v>
      </c>
      <c r="C21" s="38" t="s">
        <v>99</v>
      </c>
      <c r="D21" s="38">
        <v>51.937771472275266</v>
      </c>
      <c r="E21" s="38">
        <v>47.464376212893114</v>
      </c>
      <c r="F21" s="38">
        <v>21</v>
      </c>
      <c r="G21" s="38">
        <v>6</v>
      </c>
      <c r="H21" s="38">
        <v>6</v>
      </c>
      <c r="I21" s="38"/>
      <c r="J21" s="38"/>
      <c r="K21" s="38"/>
      <c r="L21" s="38"/>
      <c r="M21" s="38"/>
    </row>
    <row r="22" spans="1:13" x14ac:dyDescent="0.25">
      <c r="A22" t="s">
        <v>649</v>
      </c>
      <c r="B22">
        <v>4.78</v>
      </c>
      <c r="C22" t="s">
        <v>100</v>
      </c>
      <c r="D22">
        <v>59.57491131743096</v>
      </c>
      <c r="E22">
        <v>55.101516058048809</v>
      </c>
      <c r="F22">
        <v>22</v>
      </c>
      <c r="G22">
        <v>7</v>
      </c>
      <c r="H22">
        <v>7</v>
      </c>
    </row>
    <row r="23" spans="1:13" x14ac:dyDescent="0.25">
      <c r="A23" s="38" t="s">
        <v>650</v>
      </c>
      <c r="B23" s="38">
        <v>4.83</v>
      </c>
      <c r="C23" s="38" t="s">
        <v>101</v>
      </c>
      <c r="D23" s="38">
        <v>60.60406671743096</v>
      </c>
      <c r="E23" s="38">
        <v>55.410262690317296</v>
      </c>
      <c r="F23" s="38">
        <v>23</v>
      </c>
      <c r="G23" s="38">
        <v>7</v>
      </c>
      <c r="H23" s="38">
        <v>7</v>
      </c>
      <c r="I23" s="38"/>
      <c r="J23" s="38"/>
      <c r="K23" s="38"/>
      <c r="L23" s="38"/>
      <c r="M23" s="38"/>
    </row>
    <row r="24" spans="1:13" x14ac:dyDescent="0.25">
      <c r="A24" t="s">
        <v>651</v>
      </c>
      <c r="B24">
        <v>5.47</v>
      </c>
      <c r="C24" t="s">
        <v>102</v>
      </c>
      <c r="D24">
        <v>68.241206562586655</v>
      </c>
      <c r="E24">
        <v>63.04740253547299</v>
      </c>
      <c r="F24">
        <v>24</v>
      </c>
      <c r="G24">
        <v>8</v>
      </c>
      <c r="H24">
        <v>8</v>
      </c>
    </row>
    <row r="25" spans="1:13" x14ac:dyDescent="0.25">
      <c r="A25" s="38" t="s">
        <v>652</v>
      </c>
      <c r="B25" s="38">
        <v>5.53</v>
      </c>
      <c r="C25" s="38" t="s">
        <v>103</v>
      </c>
      <c r="D25" s="38">
        <v>69.270361962586648</v>
      </c>
      <c r="E25" s="38">
        <v>63.356149167741478</v>
      </c>
      <c r="F25" s="38">
        <v>25</v>
      </c>
      <c r="G25" s="38">
        <v>8</v>
      </c>
      <c r="H25" s="38">
        <v>8</v>
      </c>
      <c r="I25" s="38"/>
      <c r="J25" s="38"/>
      <c r="K25" s="38"/>
      <c r="L25" s="38"/>
      <c r="M25" s="38"/>
    </row>
    <row r="26" spans="1:13" x14ac:dyDescent="0.25">
      <c r="A26" t="s">
        <v>653</v>
      </c>
      <c r="B26">
        <v>6.16</v>
      </c>
      <c r="C26" t="s">
        <v>104</v>
      </c>
      <c r="D26">
        <v>76.907501807742335</v>
      </c>
      <c r="E26">
        <v>70.993289012897165</v>
      </c>
      <c r="F26">
        <v>26</v>
      </c>
      <c r="G26">
        <v>9</v>
      </c>
      <c r="H26">
        <v>9</v>
      </c>
    </row>
    <row r="27" spans="1:13" x14ac:dyDescent="0.25">
      <c r="A27" s="38" t="s">
        <v>654</v>
      </c>
      <c r="B27" s="38">
        <v>6.22</v>
      </c>
      <c r="C27" s="38" t="s">
        <v>105</v>
      </c>
      <c r="D27" s="38">
        <v>77.936657207742329</v>
      </c>
      <c r="E27" s="38">
        <v>71.30203564516566</v>
      </c>
      <c r="F27" s="38">
        <v>27</v>
      </c>
      <c r="G27" s="38">
        <v>9</v>
      </c>
      <c r="H27" s="38">
        <v>9</v>
      </c>
      <c r="I27" s="38"/>
      <c r="J27" s="38"/>
      <c r="K27" s="38"/>
      <c r="L27" s="38"/>
      <c r="M27" s="38"/>
    </row>
    <row r="28" spans="1:13" x14ac:dyDescent="0.25">
      <c r="A28" t="s">
        <v>655</v>
      </c>
      <c r="B28">
        <v>6.85</v>
      </c>
      <c r="C28" t="s">
        <v>106</v>
      </c>
      <c r="D28">
        <v>85.573797052898016</v>
      </c>
      <c r="E28">
        <v>78.939175490321347</v>
      </c>
      <c r="F28">
        <v>28</v>
      </c>
      <c r="G28">
        <v>10</v>
      </c>
      <c r="H28">
        <v>10</v>
      </c>
    </row>
    <row r="29" spans="1:13" x14ac:dyDescent="0.25">
      <c r="A29" s="38" t="s">
        <v>656</v>
      </c>
      <c r="B29" s="38">
        <v>6.91</v>
      </c>
      <c r="C29" s="38" t="s">
        <v>107</v>
      </c>
      <c r="D29" s="38">
        <v>86.602952452898009</v>
      </c>
      <c r="E29" s="38">
        <v>79.247922122589841</v>
      </c>
      <c r="F29" s="38">
        <v>29</v>
      </c>
      <c r="G29" s="38">
        <v>10</v>
      </c>
      <c r="H29" s="38">
        <v>10</v>
      </c>
      <c r="I29" s="38"/>
      <c r="J29" s="38"/>
      <c r="K29" s="38"/>
      <c r="L29" s="38"/>
      <c r="M29" s="38"/>
    </row>
    <row r="30" spans="1:13" x14ac:dyDescent="0.25">
      <c r="A30" t="s">
        <v>657</v>
      </c>
      <c r="B30">
        <v>7.55</v>
      </c>
      <c r="C30" t="s">
        <v>108</v>
      </c>
      <c r="D30">
        <v>94.240092298053696</v>
      </c>
      <c r="E30">
        <v>86.885061967745528</v>
      </c>
      <c r="F30">
        <v>30</v>
      </c>
      <c r="G30">
        <v>11</v>
      </c>
      <c r="H30">
        <v>11</v>
      </c>
    </row>
    <row r="31" spans="1:13" x14ac:dyDescent="0.25">
      <c r="A31" s="38" t="s">
        <v>658</v>
      </c>
      <c r="B31" s="38">
        <v>7.6</v>
      </c>
      <c r="C31" s="38" t="s">
        <v>109</v>
      </c>
      <c r="D31" s="38">
        <v>95.26924769805369</v>
      </c>
      <c r="E31" s="38">
        <v>87.193808600014023</v>
      </c>
      <c r="F31" s="38">
        <v>31</v>
      </c>
      <c r="G31" s="38">
        <v>11</v>
      </c>
      <c r="H31" s="38">
        <v>11</v>
      </c>
      <c r="I31" s="38"/>
      <c r="J31" s="38"/>
      <c r="K31" s="38"/>
      <c r="L31" s="38"/>
      <c r="M31" s="38"/>
    </row>
    <row r="32" spans="1:13" x14ac:dyDescent="0.25">
      <c r="A32" t="s">
        <v>659</v>
      </c>
      <c r="B32">
        <v>8.24</v>
      </c>
      <c r="C32" t="s">
        <v>110</v>
      </c>
      <c r="D32">
        <v>102.90638754320938</v>
      </c>
      <c r="E32">
        <v>94.83094844516971</v>
      </c>
      <c r="F32">
        <v>32</v>
      </c>
      <c r="G32">
        <v>12</v>
      </c>
      <c r="H32">
        <v>12</v>
      </c>
    </row>
    <row r="33" spans="1:13" x14ac:dyDescent="0.25">
      <c r="A33" s="38" t="s">
        <v>660</v>
      </c>
      <c r="B33" s="38">
        <v>8.2899999999999991</v>
      </c>
      <c r="C33" s="38" t="s">
        <v>111</v>
      </c>
      <c r="D33" s="38">
        <v>103.93554294320937</v>
      </c>
      <c r="E33" s="38">
        <v>95.139695077438205</v>
      </c>
      <c r="F33" s="38">
        <v>33</v>
      </c>
      <c r="G33" s="38">
        <v>12</v>
      </c>
      <c r="H33" s="38">
        <v>12</v>
      </c>
      <c r="I33" s="38"/>
      <c r="J33" s="38"/>
      <c r="K33" s="38"/>
      <c r="L33" s="38"/>
      <c r="M33" s="38"/>
    </row>
    <row r="34" spans="1:13" x14ac:dyDescent="0.25">
      <c r="A34" t="s">
        <v>661</v>
      </c>
      <c r="B34">
        <v>8.93</v>
      </c>
      <c r="C34" t="s">
        <v>24</v>
      </c>
      <c r="D34">
        <v>111.57268278836506</v>
      </c>
      <c r="E34">
        <v>102.77683492259389</v>
      </c>
      <c r="F34">
        <v>34</v>
      </c>
      <c r="G34">
        <v>13</v>
      </c>
      <c r="H34">
        <v>13</v>
      </c>
    </row>
    <row r="35" spans="1:13" x14ac:dyDescent="0.25">
      <c r="A35" s="38" t="s">
        <v>662</v>
      </c>
      <c r="B35" s="38">
        <v>8.99</v>
      </c>
      <c r="C35" s="38" t="s">
        <v>112</v>
      </c>
      <c r="D35" s="38">
        <v>112.60183818836505</v>
      </c>
      <c r="E35" s="38">
        <v>103.08558155486239</v>
      </c>
      <c r="F35" s="38">
        <v>35</v>
      </c>
      <c r="G35" s="38">
        <v>13</v>
      </c>
      <c r="H35" s="38">
        <v>13</v>
      </c>
      <c r="I35" s="38"/>
      <c r="J35" s="38"/>
      <c r="K35" s="38"/>
      <c r="L35" s="38"/>
      <c r="M35" s="38"/>
    </row>
    <row r="36" spans="1:13" x14ac:dyDescent="0.25">
      <c r="A36" t="s">
        <v>663</v>
      </c>
      <c r="B36">
        <v>9.6199999999999992</v>
      </c>
      <c r="C36" t="s">
        <v>25</v>
      </c>
      <c r="D36">
        <v>120.23897803352074</v>
      </c>
      <c r="E36">
        <v>110.72272140001807</v>
      </c>
      <c r="F36">
        <v>36</v>
      </c>
      <c r="G36">
        <v>14</v>
      </c>
      <c r="H36">
        <v>14</v>
      </c>
    </row>
    <row r="37" spans="1:13" x14ac:dyDescent="0.25">
      <c r="A37" s="38" t="s">
        <v>664</v>
      </c>
      <c r="B37" s="38">
        <v>9.68</v>
      </c>
      <c r="C37" s="38" t="s">
        <v>113</v>
      </c>
      <c r="D37" s="38">
        <v>121.26813343352073</v>
      </c>
      <c r="E37" s="38">
        <v>111.03146803228657</v>
      </c>
      <c r="F37" s="38">
        <v>37</v>
      </c>
      <c r="G37" s="38">
        <v>14</v>
      </c>
      <c r="H37" s="38">
        <v>14</v>
      </c>
      <c r="I37" s="38"/>
      <c r="J37" s="38"/>
      <c r="K37" s="38"/>
      <c r="L37" s="38"/>
      <c r="M37" s="38"/>
    </row>
    <row r="38" spans="1:13" x14ac:dyDescent="0.25">
      <c r="A38" t="s">
        <v>665</v>
      </c>
      <c r="B38">
        <v>10.32</v>
      </c>
      <c r="C38" t="s">
        <v>26</v>
      </c>
      <c r="D38">
        <v>128.90527327867642</v>
      </c>
      <c r="E38">
        <v>118.66860787744226</v>
      </c>
      <c r="F38">
        <v>38</v>
      </c>
      <c r="G38">
        <v>15</v>
      </c>
      <c r="H38">
        <v>15</v>
      </c>
    </row>
    <row r="39" spans="1:13" x14ac:dyDescent="0.25">
      <c r="A39" s="38" t="s">
        <v>666</v>
      </c>
      <c r="B39" s="38">
        <v>10.37</v>
      </c>
      <c r="C39" s="38" t="s">
        <v>114</v>
      </c>
      <c r="D39" s="38">
        <v>129.93442867867643</v>
      </c>
      <c r="E39" s="38">
        <v>118.97735450971075</v>
      </c>
      <c r="F39" s="38">
        <v>39</v>
      </c>
      <c r="G39" s="38">
        <v>15</v>
      </c>
      <c r="H39" s="38">
        <v>15</v>
      </c>
      <c r="I39" s="38"/>
      <c r="J39" s="38"/>
      <c r="K39" s="38"/>
      <c r="L39" s="38"/>
      <c r="M39" s="38"/>
    </row>
    <row r="40" spans="1:13" x14ac:dyDescent="0.25">
      <c r="A40" t="s">
        <v>667</v>
      </c>
      <c r="B40">
        <v>11.01</v>
      </c>
      <c r="C40" t="s">
        <v>27</v>
      </c>
      <c r="D40">
        <v>137.57156852383213</v>
      </c>
      <c r="E40">
        <v>126.61449435486644</v>
      </c>
      <c r="F40">
        <v>40</v>
      </c>
      <c r="G40">
        <v>16</v>
      </c>
      <c r="H40">
        <v>16</v>
      </c>
    </row>
    <row r="41" spans="1:13" x14ac:dyDescent="0.25">
      <c r="A41" s="38" t="s">
        <v>668</v>
      </c>
      <c r="B41" s="38">
        <v>11.06</v>
      </c>
      <c r="C41" s="38" t="s">
        <v>115</v>
      </c>
      <c r="D41" s="38">
        <v>138.60072392383213</v>
      </c>
      <c r="E41" s="38">
        <v>126.92324098713493</v>
      </c>
      <c r="F41" s="38">
        <v>41</v>
      </c>
      <c r="G41" s="38">
        <v>16</v>
      </c>
      <c r="H41" s="38">
        <v>16</v>
      </c>
      <c r="I41" s="38"/>
      <c r="J41" s="38"/>
      <c r="K41" s="38"/>
      <c r="L41" s="38"/>
      <c r="M41" s="38"/>
    </row>
    <row r="42" spans="1:13" x14ac:dyDescent="0.25">
      <c r="A42" t="s">
        <v>669</v>
      </c>
      <c r="B42">
        <v>11.7</v>
      </c>
      <c r="C42" t="s">
        <v>28</v>
      </c>
      <c r="D42">
        <v>146.23786376898784</v>
      </c>
      <c r="E42">
        <v>134.56038083229063</v>
      </c>
      <c r="F42">
        <v>42</v>
      </c>
      <c r="G42">
        <v>17</v>
      </c>
      <c r="H42">
        <v>17</v>
      </c>
    </row>
    <row r="43" spans="1:13" x14ac:dyDescent="0.25">
      <c r="A43" s="39" t="s">
        <v>670</v>
      </c>
      <c r="B43" s="39">
        <v>12.01</v>
      </c>
      <c r="C43" s="39" t="s">
        <v>116</v>
      </c>
      <c r="D43" s="39">
        <v>150.26701916898784</v>
      </c>
      <c r="E43" s="39">
        <v>137.86912746455911</v>
      </c>
      <c r="F43" s="39">
        <v>43</v>
      </c>
      <c r="G43" s="39">
        <v>17</v>
      </c>
      <c r="H43" s="39">
        <v>17</v>
      </c>
      <c r="I43" s="39"/>
      <c r="J43" s="39"/>
      <c r="K43" s="39"/>
      <c r="L43" s="39"/>
      <c r="M43" s="39"/>
    </row>
    <row r="44" spans="1:13" x14ac:dyDescent="0.25">
      <c r="A44" t="s">
        <v>671</v>
      </c>
      <c r="B44">
        <v>12.64</v>
      </c>
      <c r="C44" t="s">
        <v>29</v>
      </c>
      <c r="D44">
        <v>157.90415901414354</v>
      </c>
      <c r="E44">
        <v>145.50626730971481</v>
      </c>
      <c r="F44">
        <v>44</v>
      </c>
      <c r="G44">
        <v>1</v>
      </c>
      <c r="H44">
        <v>18</v>
      </c>
    </row>
    <row r="45" spans="1:13" x14ac:dyDescent="0.25">
      <c r="A45" s="38" t="s">
        <v>672</v>
      </c>
      <c r="B45" s="38">
        <v>12.7</v>
      </c>
      <c r="C45" s="38" t="s">
        <v>117</v>
      </c>
      <c r="D45" s="38">
        <v>158.93331441414355</v>
      </c>
      <c r="E45" s="38">
        <v>145.8150139419833</v>
      </c>
      <c r="F45" s="38">
        <v>45</v>
      </c>
      <c r="G45" s="38">
        <v>1</v>
      </c>
      <c r="H45" s="38">
        <v>18</v>
      </c>
      <c r="I45" s="38"/>
      <c r="J45" s="38"/>
      <c r="K45" s="38"/>
      <c r="L45" s="38"/>
      <c r="M45" s="38"/>
    </row>
    <row r="46" spans="1:13" x14ac:dyDescent="0.25">
      <c r="A46" t="s">
        <v>673</v>
      </c>
      <c r="B46">
        <v>13.33</v>
      </c>
      <c r="C46" t="s">
        <v>30</v>
      </c>
      <c r="D46">
        <v>166.57045425929925</v>
      </c>
      <c r="E46">
        <v>153.452153787139</v>
      </c>
      <c r="F46">
        <v>46</v>
      </c>
      <c r="G46">
        <v>2</v>
      </c>
      <c r="H46">
        <v>19</v>
      </c>
    </row>
    <row r="47" spans="1:13" x14ac:dyDescent="0.25">
      <c r="A47" s="38" t="s">
        <v>674</v>
      </c>
      <c r="B47" s="38">
        <v>13.39</v>
      </c>
      <c r="C47" s="38" t="s">
        <v>118</v>
      </c>
      <c r="D47" s="38">
        <v>167.59960965929926</v>
      </c>
      <c r="E47" s="38">
        <v>153.76090041940748</v>
      </c>
      <c r="F47" s="38">
        <v>47</v>
      </c>
      <c r="G47" s="38">
        <v>2</v>
      </c>
      <c r="H47" s="38">
        <v>19</v>
      </c>
      <c r="I47" s="38"/>
      <c r="J47" s="38"/>
      <c r="K47" s="38"/>
      <c r="L47" s="38"/>
      <c r="M47" s="38"/>
    </row>
    <row r="48" spans="1:13" x14ac:dyDescent="0.25">
      <c r="A48" t="s">
        <v>675</v>
      </c>
      <c r="B48">
        <v>14.03</v>
      </c>
      <c r="C48" t="s">
        <v>31</v>
      </c>
      <c r="D48">
        <v>175.23674950445496</v>
      </c>
      <c r="E48">
        <v>161.39804026456318</v>
      </c>
      <c r="F48">
        <v>48</v>
      </c>
      <c r="G48">
        <v>3</v>
      </c>
      <c r="H48">
        <v>20</v>
      </c>
    </row>
    <row r="49" spans="1:13" x14ac:dyDescent="0.25">
      <c r="A49" s="38" t="s">
        <v>676</v>
      </c>
      <c r="B49" s="38">
        <v>14.08</v>
      </c>
      <c r="C49" s="38" t="s">
        <v>119</v>
      </c>
      <c r="D49" s="38">
        <v>176.26590490445497</v>
      </c>
      <c r="E49" s="38">
        <v>161.70678689683166</v>
      </c>
      <c r="F49" s="38">
        <v>49</v>
      </c>
      <c r="G49" s="38">
        <v>3</v>
      </c>
      <c r="H49" s="38">
        <v>20</v>
      </c>
      <c r="I49" s="38"/>
      <c r="J49" s="38"/>
      <c r="K49" s="38"/>
      <c r="L49" s="38"/>
      <c r="M49" s="38"/>
    </row>
    <row r="50" spans="1:13" x14ac:dyDescent="0.25">
      <c r="A50" t="s">
        <v>677</v>
      </c>
      <c r="B50">
        <v>14.72</v>
      </c>
      <c r="C50" t="s">
        <v>32</v>
      </c>
      <c r="D50">
        <v>183.90304474961067</v>
      </c>
      <c r="E50">
        <v>169.34392674198736</v>
      </c>
      <c r="F50">
        <v>50</v>
      </c>
      <c r="G50">
        <v>4</v>
      </c>
      <c r="H50">
        <v>21</v>
      </c>
    </row>
    <row r="51" spans="1:13" x14ac:dyDescent="0.25">
      <c r="A51" s="38" t="s">
        <v>678</v>
      </c>
      <c r="B51" s="38">
        <v>14.77</v>
      </c>
      <c r="C51" s="38" t="s">
        <v>120</v>
      </c>
      <c r="D51" s="38">
        <v>184.93220014961068</v>
      </c>
      <c r="E51" s="38">
        <v>169.65267337425584</v>
      </c>
      <c r="F51" s="38">
        <v>51</v>
      </c>
      <c r="G51" s="38">
        <v>4</v>
      </c>
      <c r="H51" s="38">
        <v>21</v>
      </c>
      <c r="I51" s="38"/>
      <c r="J51" s="38"/>
      <c r="K51" s="38"/>
      <c r="L51" s="38"/>
      <c r="M51" s="38"/>
    </row>
    <row r="52" spans="1:13" x14ac:dyDescent="0.25">
      <c r="A52" t="s">
        <v>679</v>
      </c>
      <c r="B52">
        <v>15.41</v>
      </c>
      <c r="C52" t="s">
        <v>33</v>
      </c>
      <c r="D52">
        <v>192.56933999476638</v>
      </c>
      <c r="E52">
        <v>177.28981321941154</v>
      </c>
      <c r="F52">
        <v>52</v>
      </c>
      <c r="G52">
        <v>5</v>
      </c>
      <c r="H52">
        <v>22</v>
      </c>
    </row>
    <row r="53" spans="1:13" x14ac:dyDescent="0.25">
      <c r="A53" s="38" t="s">
        <v>680</v>
      </c>
      <c r="B53" s="38">
        <v>15.47</v>
      </c>
      <c r="C53" s="38" t="s">
        <v>121</v>
      </c>
      <c r="D53" s="38">
        <v>193.59849539476639</v>
      </c>
      <c r="E53" s="38">
        <v>177.59855985168002</v>
      </c>
      <c r="F53" s="38">
        <v>53</v>
      </c>
      <c r="G53" s="38">
        <v>5</v>
      </c>
      <c r="H53" s="38">
        <v>22</v>
      </c>
      <c r="I53" s="38"/>
      <c r="J53" s="38"/>
      <c r="K53" s="38"/>
      <c r="L53" s="38"/>
      <c r="M53" s="38"/>
    </row>
    <row r="54" spans="1:13" x14ac:dyDescent="0.25">
      <c r="A54" t="s">
        <v>681</v>
      </c>
      <c r="B54">
        <v>16.100000000000001</v>
      </c>
      <c r="C54" t="s">
        <v>34</v>
      </c>
      <c r="D54">
        <v>201.23563523992209</v>
      </c>
      <c r="E54">
        <v>185.23569969683572</v>
      </c>
      <c r="F54">
        <v>54</v>
      </c>
      <c r="G54">
        <v>6</v>
      </c>
      <c r="H54">
        <v>23</v>
      </c>
    </row>
    <row r="55" spans="1:13" x14ac:dyDescent="0.25">
      <c r="A55" s="38" t="s">
        <v>682</v>
      </c>
      <c r="B55" s="38">
        <v>16.16</v>
      </c>
      <c r="C55" s="38" t="s">
        <v>122</v>
      </c>
      <c r="D55" s="38">
        <v>202.2647906399221</v>
      </c>
      <c r="E55" s="38">
        <v>185.5444463291042</v>
      </c>
      <c r="F55" s="38">
        <v>55</v>
      </c>
      <c r="G55" s="38">
        <v>6</v>
      </c>
      <c r="H55" s="38">
        <v>23</v>
      </c>
      <c r="I55" s="38"/>
      <c r="J55" s="38"/>
      <c r="K55" s="38"/>
      <c r="L55" s="38"/>
      <c r="M55" s="38"/>
    </row>
    <row r="56" spans="1:13" x14ac:dyDescent="0.25">
      <c r="A56" t="s">
        <v>683</v>
      </c>
      <c r="B56">
        <v>16.8</v>
      </c>
      <c r="C56" t="s">
        <v>35</v>
      </c>
      <c r="D56">
        <v>209.9019304850778</v>
      </c>
      <c r="E56">
        <v>193.18158617425991</v>
      </c>
      <c r="F56">
        <v>56</v>
      </c>
      <c r="G56">
        <v>7</v>
      </c>
      <c r="H56">
        <v>24</v>
      </c>
    </row>
    <row r="57" spans="1:13" x14ac:dyDescent="0.25">
      <c r="A57" s="38" t="s">
        <v>684</v>
      </c>
      <c r="B57" s="38">
        <v>16.850000000000001</v>
      </c>
      <c r="C57" s="38" t="s">
        <v>123</v>
      </c>
      <c r="D57" s="38">
        <v>210.93108588507781</v>
      </c>
      <c r="E57" s="38">
        <v>193.49033280652839</v>
      </c>
      <c r="F57" s="38">
        <v>57</v>
      </c>
      <c r="G57" s="38">
        <v>7</v>
      </c>
      <c r="H57" s="38">
        <v>24</v>
      </c>
      <c r="I57" s="38"/>
      <c r="J57" s="38"/>
      <c r="K57" s="38"/>
      <c r="L57" s="38"/>
      <c r="M57" s="38"/>
    </row>
    <row r="58" spans="1:13" x14ac:dyDescent="0.25">
      <c r="A58" t="s">
        <v>685</v>
      </c>
      <c r="B58">
        <v>17.489999999999998</v>
      </c>
      <c r="C58" t="s">
        <v>36</v>
      </c>
      <c r="D58">
        <v>218.56822573023351</v>
      </c>
      <c r="E58">
        <v>201.12747265168409</v>
      </c>
      <c r="F58">
        <v>58</v>
      </c>
      <c r="G58">
        <v>8</v>
      </c>
      <c r="H58">
        <v>25</v>
      </c>
    </row>
    <row r="59" spans="1:13" x14ac:dyDescent="0.25">
      <c r="A59" s="38" t="s">
        <v>686</v>
      </c>
      <c r="B59" s="38">
        <v>17.54</v>
      </c>
      <c r="C59" s="38" t="s">
        <v>124</v>
      </c>
      <c r="D59" s="38">
        <v>219.59738113023352</v>
      </c>
      <c r="E59" s="38">
        <v>201.43621928395257</v>
      </c>
      <c r="F59" s="38">
        <v>59</v>
      </c>
      <c r="G59" s="38">
        <v>8</v>
      </c>
      <c r="H59" s="38">
        <v>25</v>
      </c>
      <c r="I59" s="38"/>
      <c r="J59" s="38"/>
      <c r="K59" s="38"/>
      <c r="L59" s="38"/>
      <c r="M59" s="38"/>
    </row>
    <row r="60" spans="1:13" x14ac:dyDescent="0.25">
      <c r="A60" t="s">
        <v>687</v>
      </c>
      <c r="B60">
        <v>18.18</v>
      </c>
      <c r="C60" t="s">
        <v>37</v>
      </c>
      <c r="D60">
        <v>227.23452097538922</v>
      </c>
      <c r="E60">
        <v>209.07335912910827</v>
      </c>
      <c r="F60">
        <v>60</v>
      </c>
      <c r="G60">
        <v>9</v>
      </c>
      <c r="H60">
        <v>26</v>
      </c>
    </row>
    <row r="61" spans="1:13" x14ac:dyDescent="0.25">
      <c r="A61" s="38" t="s">
        <v>688</v>
      </c>
      <c r="B61" s="38">
        <v>18.239999999999998</v>
      </c>
      <c r="C61" s="38" t="s">
        <v>125</v>
      </c>
      <c r="D61" s="38">
        <v>228.26367637538922</v>
      </c>
      <c r="E61" s="38">
        <v>209.38210576137675</v>
      </c>
      <c r="F61" s="38">
        <v>61</v>
      </c>
      <c r="G61" s="38">
        <v>9</v>
      </c>
      <c r="H61" s="38">
        <v>26</v>
      </c>
      <c r="I61" s="38"/>
      <c r="J61" s="38"/>
      <c r="K61" s="38"/>
      <c r="L61" s="38"/>
      <c r="M61" s="38"/>
    </row>
    <row r="62" spans="1:13" x14ac:dyDescent="0.25">
      <c r="A62" t="s">
        <v>689</v>
      </c>
      <c r="B62">
        <v>18.87</v>
      </c>
      <c r="C62" t="s">
        <v>38</v>
      </c>
      <c r="D62">
        <v>235.90081622054493</v>
      </c>
      <c r="E62">
        <v>217.01924560653245</v>
      </c>
      <c r="F62">
        <v>62</v>
      </c>
      <c r="G62">
        <v>10</v>
      </c>
      <c r="H62">
        <v>27</v>
      </c>
    </row>
    <row r="63" spans="1:13" x14ac:dyDescent="0.25">
      <c r="A63" s="38" t="s">
        <v>690</v>
      </c>
      <c r="B63" s="38">
        <v>18.93</v>
      </c>
      <c r="C63" s="38" t="s">
        <v>126</v>
      </c>
      <c r="D63" s="38">
        <v>236.92997162054493</v>
      </c>
      <c r="E63" s="38">
        <v>217.32799223880093</v>
      </c>
      <c r="F63" s="38">
        <v>63</v>
      </c>
      <c r="G63" s="38">
        <v>10</v>
      </c>
      <c r="H63" s="38">
        <v>27</v>
      </c>
      <c r="I63" s="38"/>
      <c r="J63" s="38"/>
      <c r="K63" s="38"/>
      <c r="L63" s="38"/>
      <c r="M63" s="38"/>
    </row>
    <row r="64" spans="1:13" x14ac:dyDescent="0.25">
      <c r="A64" t="s">
        <v>691</v>
      </c>
      <c r="B64">
        <v>19.559999999999999</v>
      </c>
      <c r="C64" t="s">
        <v>39</v>
      </c>
      <c r="D64">
        <v>244.56711146570063</v>
      </c>
      <c r="E64">
        <v>224.96513208395663</v>
      </c>
      <c r="F64">
        <v>64</v>
      </c>
      <c r="G64">
        <v>11</v>
      </c>
      <c r="H64">
        <v>28</v>
      </c>
    </row>
    <row r="65" spans="1:13" x14ac:dyDescent="0.25">
      <c r="A65" s="38" t="s">
        <v>692</v>
      </c>
      <c r="B65" s="38">
        <v>19.62</v>
      </c>
      <c r="C65" s="38" t="s">
        <v>127</v>
      </c>
      <c r="D65" s="38">
        <v>245.59626686570064</v>
      </c>
      <c r="E65" s="38">
        <v>225.27387871622511</v>
      </c>
      <c r="F65" s="38">
        <v>65</v>
      </c>
      <c r="G65" s="38">
        <v>11</v>
      </c>
      <c r="H65" s="38">
        <v>28</v>
      </c>
      <c r="I65" s="38"/>
      <c r="J65" s="38"/>
      <c r="K65" s="38"/>
      <c r="L65" s="38"/>
      <c r="M65" s="38"/>
    </row>
    <row r="66" spans="1:13" x14ac:dyDescent="0.25">
      <c r="A66" t="s">
        <v>693</v>
      </c>
      <c r="B66">
        <v>20.260000000000002</v>
      </c>
      <c r="C66" t="s">
        <v>40</v>
      </c>
      <c r="D66">
        <v>253.23340671085634</v>
      </c>
      <c r="E66">
        <v>232.91101856138081</v>
      </c>
      <c r="F66">
        <v>66</v>
      </c>
      <c r="G66">
        <v>12</v>
      </c>
      <c r="H66">
        <v>29</v>
      </c>
    </row>
    <row r="67" spans="1:13" x14ac:dyDescent="0.25">
      <c r="A67" s="38" t="s">
        <v>694</v>
      </c>
      <c r="B67" s="38">
        <v>20.309999999999999</v>
      </c>
      <c r="C67" s="38" t="s">
        <v>128</v>
      </c>
      <c r="D67" s="38">
        <v>254.26256211085635</v>
      </c>
      <c r="E67" s="38">
        <v>233.21976519364929</v>
      </c>
      <c r="F67" s="38">
        <v>67</v>
      </c>
      <c r="G67" s="38">
        <v>12</v>
      </c>
      <c r="H67" s="38">
        <v>29</v>
      </c>
      <c r="I67" s="38"/>
      <c r="J67" s="38"/>
      <c r="K67" s="38"/>
      <c r="L67" s="38"/>
      <c r="M67" s="38"/>
    </row>
    <row r="68" spans="1:13" x14ac:dyDescent="0.25">
      <c r="A68" t="s">
        <v>695</v>
      </c>
      <c r="B68">
        <v>20.95</v>
      </c>
      <c r="C68" t="s">
        <v>41</v>
      </c>
      <c r="D68">
        <v>261.89970195601205</v>
      </c>
      <c r="E68">
        <v>240.856905038805</v>
      </c>
      <c r="F68">
        <v>68</v>
      </c>
      <c r="G68">
        <v>13</v>
      </c>
      <c r="H68">
        <v>30</v>
      </c>
    </row>
    <row r="69" spans="1:13" x14ac:dyDescent="0.25">
      <c r="A69" s="38" t="s">
        <v>696</v>
      </c>
      <c r="B69" s="38">
        <v>21</v>
      </c>
      <c r="C69" s="38" t="s">
        <v>129</v>
      </c>
      <c r="D69" s="38">
        <v>262.92885735601203</v>
      </c>
      <c r="E69" s="38">
        <v>241.16565167107348</v>
      </c>
      <c r="F69" s="38">
        <v>69</v>
      </c>
      <c r="G69" s="38">
        <v>13</v>
      </c>
      <c r="H69" s="38">
        <v>30</v>
      </c>
      <c r="I69" s="38"/>
      <c r="J69" s="38"/>
      <c r="K69" s="38"/>
      <c r="L69" s="38"/>
      <c r="M69" s="38"/>
    </row>
    <row r="70" spans="1:13" x14ac:dyDescent="0.25">
      <c r="A70" t="s">
        <v>697</v>
      </c>
      <c r="B70">
        <v>21.64</v>
      </c>
      <c r="C70" t="s">
        <v>42</v>
      </c>
      <c r="D70">
        <v>270.5659972011677</v>
      </c>
      <c r="E70">
        <v>248.80279151622918</v>
      </c>
      <c r="F70">
        <v>70</v>
      </c>
      <c r="G70">
        <v>14</v>
      </c>
      <c r="H70">
        <v>31</v>
      </c>
    </row>
    <row r="71" spans="1:13" x14ac:dyDescent="0.25">
      <c r="A71" s="38" t="s">
        <v>698</v>
      </c>
      <c r="B71" s="38">
        <v>21.7</v>
      </c>
      <c r="C71" s="38" t="s">
        <v>130</v>
      </c>
      <c r="D71" s="38">
        <v>271.59515260116768</v>
      </c>
      <c r="E71" s="38">
        <v>249.11153814849766</v>
      </c>
      <c r="F71" s="38">
        <v>71</v>
      </c>
      <c r="G71" s="38">
        <v>14</v>
      </c>
      <c r="H71" s="38">
        <v>31</v>
      </c>
      <c r="I71" s="38"/>
      <c r="J71" s="38"/>
      <c r="K71" s="38"/>
      <c r="L71" s="38"/>
      <c r="M71" s="38"/>
    </row>
    <row r="72" spans="1:13" x14ac:dyDescent="0.25">
      <c r="A72" t="s">
        <v>699</v>
      </c>
      <c r="B72">
        <v>22.33</v>
      </c>
      <c r="C72" t="s">
        <v>43</v>
      </c>
      <c r="D72">
        <v>279.23229244632336</v>
      </c>
      <c r="E72">
        <v>256.74867799365336</v>
      </c>
      <c r="F72">
        <v>72</v>
      </c>
      <c r="G72">
        <v>15</v>
      </c>
      <c r="H72">
        <v>32</v>
      </c>
    </row>
    <row r="73" spans="1:13" x14ac:dyDescent="0.25">
      <c r="A73" s="38" t="s">
        <v>700</v>
      </c>
      <c r="B73" s="38">
        <v>22.39</v>
      </c>
      <c r="C73" s="38" t="s">
        <v>131</v>
      </c>
      <c r="D73" s="38">
        <v>280.26144784632334</v>
      </c>
      <c r="E73" s="38">
        <v>257.05742462592184</v>
      </c>
      <c r="F73" s="38">
        <v>73</v>
      </c>
      <c r="G73" s="38">
        <v>15</v>
      </c>
      <c r="H73" s="38">
        <v>32</v>
      </c>
      <c r="I73" s="38"/>
      <c r="J73" s="38"/>
      <c r="K73" s="38"/>
      <c r="L73" s="38"/>
      <c r="M73" s="38"/>
    </row>
    <row r="74" spans="1:13" x14ac:dyDescent="0.25">
      <c r="A74" t="s">
        <v>701</v>
      </c>
      <c r="B74">
        <v>23.02</v>
      </c>
      <c r="C74" t="s">
        <v>44</v>
      </c>
      <c r="D74">
        <v>287.89858769147901</v>
      </c>
      <c r="E74">
        <v>264.69456447107751</v>
      </c>
      <c r="F74">
        <v>74</v>
      </c>
      <c r="G74">
        <v>16</v>
      </c>
      <c r="H74">
        <v>33</v>
      </c>
    </row>
    <row r="75" spans="1:13" x14ac:dyDescent="0.25">
      <c r="A75" s="38" t="s">
        <v>702</v>
      </c>
      <c r="B75" s="38">
        <v>23.08</v>
      </c>
      <c r="C75" s="38" t="s">
        <v>132</v>
      </c>
      <c r="D75" s="38">
        <v>288.92774309147899</v>
      </c>
      <c r="E75" s="38">
        <v>265.00331110334599</v>
      </c>
      <c r="F75" s="38">
        <v>75</v>
      </c>
      <c r="G75" s="38">
        <v>16</v>
      </c>
      <c r="H75" s="38">
        <v>33</v>
      </c>
      <c r="I75" s="38"/>
      <c r="J75" s="38"/>
      <c r="K75" s="38"/>
      <c r="L75" s="38"/>
      <c r="M75" s="38"/>
    </row>
    <row r="76" spans="1:13" x14ac:dyDescent="0.25">
      <c r="A76" t="s">
        <v>703</v>
      </c>
      <c r="B76">
        <v>23.72</v>
      </c>
      <c r="C76" t="s">
        <v>45</v>
      </c>
      <c r="D76">
        <v>296.56488293663466</v>
      </c>
      <c r="E76">
        <v>272.64045094850167</v>
      </c>
      <c r="F76">
        <v>76</v>
      </c>
      <c r="G76">
        <v>17</v>
      </c>
      <c r="H76">
        <v>34</v>
      </c>
    </row>
    <row r="77" spans="1:13" x14ac:dyDescent="0.25">
      <c r="A77" s="39" t="s">
        <v>704</v>
      </c>
      <c r="B77" s="39">
        <v>24.02</v>
      </c>
      <c r="C77" s="39" t="s">
        <v>133</v>
      </c>
      <c r="D77" s="39">
        <v>300.59403833663464</v>
      </c>
      <c r="E77" s="39">
        <v>275.94919758077015</v>
      </c>
      <c r="F77" s="39">
        <v>77</v>
      </c>
      <c r="G77" s="39">
        <v>17</v>
      </c>
      <c r="H77" s="39">
        <v>34</v>
      </c>
      <c r="I77" s="39"/>
      <c r="J77" s="39"/>
      <c r="K77" s="39"/>
      <c r="L77" s="39"/>
      <c r="M77" s="39"/>
    </row>
    <row r="78" spans="1:13" x14ac:dyDescent="0.25">
      <c r="A78" t="s">
        <v>705</v>
      </c>
      <c r="B78">
        <v>24.66</v>
      </c>
      <c r="C78" t="s">
        <v>46</v>
      </c>
      <c r="D78">
        <v>308.23117818179031</v>
      </c>
      <c r="E78">
        <v>283.58633742592582</v>
      </c>
      <c r="F78">
        <v>78</v>
      </c>
      <c r="G78">
        <v>1</v>
      </c>
      <c r="H78">
        <v>35</v>
      </c>
    </row>
    <row r="79" spans="1:13" x14ac:dyDescent="0.25">
      <c r="A79" s="38" t="s">
        <v>706</v>
      </c>
      <c r="B79" s="38">
        <v>24.71</v>
      </c>
      <c r="C79" s="38" t="s">
        <v>134</v>
      </c>
      <c r="D79" s="38">
        <v>309.26033358179029</v>
      </c>
      <c r="E79" s="38">
        <v>283.8950840581943</v>
      </c>
      <c r="F79" s="38">
        <v>79</v>
      </c>
      <c r="G79" s="38">
        <v>1</v>
      </c>
      <c r="H79" s="38">
        <v>35</v>
      </c>
      <c r="I79" s="38"/>
      <c r="J79" s="38"/>
      <c r="K79" s="38"/>
      <c r="L79" s="38"/>
      <c r="M79" s="38"/>
    </row>
    <row r="80" spans="1:13" x14ac:dyDescent="0.25">
      <c r="A80" t="s">
        <v>707</v>
      </c>
      <c r="B80">
        <v>25.35</v>
      </c>
      <c r="C80" t="s">
        <v>47</v>
      </c>
      <c r="D80">
        <v>316.89747342694596</v>
      </c>
      <c r="E80">
        <v>291.53222390334997</v>
      </c>
      <c r="F80">
        <v>80</v>
      </c>
      <c r="G80">
        <v>2</v>
      </c>
      <c r="H80">
        <v>36</v>
      </c>
    </row>
    <row r="81" spans="1:13" x14ac:dyDescent="0.25">
      <c r="A81" s="38" t="s">
        <v>708</v>
      </c>
      <c r="B81" s="38">
        <v>25.41</v>
      </c>
      <c r="C81" s="38" t="s">
        <v>135</v>
      </c>
      <c r="D81" s="38">
        <v>317.92662882694594</v>
      </c>
      <c r="E81" s="38">
        <v>291.84097053561845</v>
      </c>
      <c r="F81" s="38">
        <v>81</v>
      </c>
      <c r="G81" s="38">
        <v>2</v>
      </c>
      <c r="H81" s="38">
        <v>36</v>
      </c>
      <c r="I81" s="38"/>
      <c r="J81" s="38"/>
      <c r="K81" s="38"/>
      <c r="L81" s="38"/>
      <c r="M81" s="38"/>
    </row>
    <row r="82" spans="1:13" x14ac:dyDescent="0.25">
      <c r="A82" t="s">
        <v>709</v>
      </c>
      <c r="B82">
        <v>26.04</v>
      </c>
      <c r="C82" t="s">
        <v>48</v>
      </c>
      <c r="D82">
        <v>325.56376867210162</v>
      </c>
      <c r="E82">
        <v>299.47811038077413</v>
      </c>
      <c r="F82">
        <v>82</v>
      </c>
      <c r="G82">
        <v>3</v>
      </c>
      <c r="H82">
        <v>37</v>
      </c>
    </row>
    <row r="83" spans="1:13" x14ac:dyDescent="0.25">
      <c r="A83" s="38" t="s">
        <v>710</v>
      </c>
      <c r="B83" s="38">
        <v>26.1</v>
      </c>
      <c r="C83" s="38" t="s">
        <v>136</v>
      </c>
      <c r="D83" s="38">
        <v>326.5929240721016</v>
      </c>
      <c r="E83" s="38">
        <v>299.78685701304261</v>
      </c>
      <c r="F83" s="38">
        <v>83</v>
      </c>
      <c r="G83" s="38">
        <v>3</v>
      </c>
      <c r="H83" s="38">
        <v>37</v>
      </c>
      <c r="I83" s="38"/>
      <c r="J83" s="38"/>
      <c r="K83" s="38"/>
      <c r="L83" s="38"/>
      <c r="M83" s="38"/>
    </row>
    <row r="84" spans="1:13" x14ac:dyDescent="0.25">
      <c r="A84" t="s">
        <v>711</v>
      </c>
      <c r="B84">
        <v>26.74</v>
      </c>
      <c r="C84" t="s">
        <v>49</v>
      </c>
      <c r="D84">
        <v>334.23006391725727</v>
      </c>
      <c r="E84">
        <v>307.42399685819828</v>
      </c>
      <c r="F84">
        <v>84</v>
      </c>
      <c r="G84">
        <v>4</v>
      </c>
      <c r="H84">
        <v>38</v>
      </c>
    </row>
    <row r="85" spans="1:13" x14ac:dyDescent="0.25">
      <c r="A85" s="38" t="s">
        <v>712</v>
      </c>
      <c r="B85" s="38">
        <v>26.79</v>
      </c>
      <c r="C85" s="38" t="s">
        <v>137</v>
      </c>
      <c r="D85" s="38">
        <v>335.25921931725725</v>
      </c>
      <c r="E85" s="38">
        <v>307.73274349046676</v>
      </c>
      <c r="F85" s="38">
        <v>85</v>
      </c>
      <c r="G85" s="38">
        <v>4</v>
      </c>
      <c r="H85" s="38">
        <v>38</v>
      </c>
      <c r="I85" s="38"/>
      <c r="J85" s="38"/>
      <c r="K85" s="38"/>
      <c r="L85" s="38"/>
      <c r="M85" s="38"/>
    </row>
    <row r="86" spans="1:13" x14ac:dyDescent="0.25">
      <c r="A86" t="s">
        <v>713</v>
      </c>
      <c r="B86">
        <v>27.43</v>
      </c>
      <c r="C86" t="s">
        <v>50</v>
      </c>
      <c r="D86">
        <v>342.89635916241292</v>
      </c>
      <c r="E86">
        <v>315.36988333562243</v>
      </c>
      <c r="F86">
        <v>86</v>
      </c>
      <c r="G86">
        <v>5</v>
      </c>
      <c r="H86">
        <v>39</v>
      </c>
    </row>
    <row r="87" spans="1:13" x14ac:dyDescent="0.25">
      <c r="A87" s="38" t="s">
        <v>714</v>
      </c>
      <c r="B87" s="38">
        <v>27.48</v>
      </c>
      <c r="C87" s="38" t="s">
        <v>138</v>
      </c>
      <c r="D87" s="38">
        <v>343.9255145624129</v>
      </c>
      <c r="E87" s="38">
        <v>315.67862996789091</v>
      </c>
      <c r="F87" s="38">
        <v>87</v>
      </c>
      <c r="G87" s="38">
        <v>5</v>
      </c>
      <c r="H87" s="38">
        <v>39</v>
      </c>
      <c r="I87" s="38"/>
      <c r="J87" s="38"/>
      <c r="K87" s="38"/>
      <c r="L87" s="38"/>
      <c r="M87" s="38"/>
    </row>
    <row r="88" spans="1:13" x14ac:dyDescent="0.25">
      <c r="A88" t="s">
        <v>715</v>
      </c>
      <c r="B88">
        <v>28.12</v>
      </c>
      <c r="C88" t="s">
        <v>51</v>
      </c>
      <c r="D88">
        <v>351.56265440756857</v>
      </c>
      <c r="E88">
        <v>323.31576981304659</v>
      </c>
      <c r="F88">
        <v>88</v>
      </c>
      <c r="G88">
        <v>6</v>
      </c>
      <c r="H88">
        <v>40</v>
      </c>
    </row>
    <row r="89" spans="1:13" x14ac:dyDescent="0.25">
      <c r="A89" s="38" t="s">
        <v>716</v>
      </c>
      <c r="B89" s="38">
        <v>28.18</v>
      </c>
      <c r="C89" s="38" t="s">
        <v>139</v>
      </c>
      <c r="D89" s="38">
        <v>352.59180980756855</v>
      </c>
      <c r="E89" s="38">
        <v>323.62451644531507</v>
      </c>
      <c r="F89" s="38">
        <v>89</v>
      </c>
      <c r="G89" s="38">
        <v>6</v>
      </c>
      <c r="H89" s="38">
        <v>40</v>
      </c>
      <c r="I89" s="38"/>
      <c r="J89" s="38"/>
      <c r="K89" s="38"/>
      <c r="L89" s="38"/>
      <c r="M89" s="38"/>
    </row>
    <row r="90" spans="1:13" x14ac:dyDescent="0.25">
      <c r="A90" t="s">
        <v>717</v>
      </c>
      <c r="B90">
        <v>28.81</v>
      </c>
      <c r="C90" t="s">
        <v>52</v>
      </c>
      <c r="D90">
        <v>360.22894965272422</v>
      </c>
      <c r="E90">
        <v>331.26165629047074</v>
      </c>
      <c r="F90">
        <v>90</v>
      </c>
      <c r="G90">
        <v>7</v>
      </c>
      <c r="H90">
        <v>41</v>
      </c>
    </row>
    <row r="91" spans="1:13" x14ac:dyDescent="0.25">
      <c r="A91" s="38" t="s">
        <v>718</v>
      </c>
      <c r="B91" s="38">
        <v>28.87</v>
      </c>
      <c r="C91" s="38" t="s">
        <v>140</v>
      </c>
      <c r="D91" s="38">
        <v>361.2581050527242</v>
      </c>
      <c r="E91" s="38">
        <v>331.57040292273922</v>
      </c>
      <c r="F91" s="38">
        <v>91</v>
      </c>
      <c r="G91" s="38">
        <v>7</v>
      </c>
      <c r="H91" s="38">
        <v>41</v>
      </c>
      <c r="I91" s="38"/>
      <c r="J91" s="38"/>
      <c r="K91" s="38"/>
      <c r="L91" s="38"/>
      <c r="M91" s="38"/>
    </row>
    <row r="92" spans="1:13" x14ac:dyDescent="0.25">
      <c r="A92" t="s">
        <v>719</v>
      </c>
      <c r="B92">
        <v>29.5</v>
      </c>
      <c r="C92" t="s">
        <v>53</v>
      </c>
      <c r="D92">
        <v>368.89524489787988</v>
      </c>
      <c r="E92">
        <v>339.20754276789489</v>
      </c>
      <c r="F92">
        <v>92</v>
      </c>
      <c r="G92">
        <v>8</v>
      </c>
      <c r="H92">
        <v>42</v>
      </c>
    </row>
    <row r="93" spans="1:13" x14ac:dyDescent="0.25">
      <c r="A93" s="38" t="s">
        <v>720</v>
      </c>
      <c r="B93" s="38">
        <v>29.56</v>
      </c>
      <c r="C93" s="38" t="s">
        <v>141</v>
      </c>
      <c r="D93" s="38">
        <v>369.92440029787986</v>
      </c>
      <c r="E93" s="38">
        <v>339.51628940016337</v>
      </c>
      <c r="F93" s="38">
        <v>93</v>
      </c>
      <c r="G93" s="38">
        <v>8</v>
      </c>
      <c r="H93" s="38">
        <v>42</v>
      </c>
      <c r="I93" s="38"/>
      <c r="J93" s="38"/>
      <c r="K93" s="38"/>
      <c r="L93" s="38"/>
      <c r="M93" s="38"/>
    </row>
    <row r="94" spans="1:13" x14ac:dyDescent="0.25">
      <c r="A94" t="s">
        <v>721</v>
      </c>
      <c r="B94">
        <v>30.2</v>
      </c>
      <c r="C94" t="s">
        <v>54</v>
      </c>
      <c r="D94">
        <v>377.56154014303553</v>
      </c>
      <c r="E94">
        <v>347.15342924531905</v>
      </c>
      <c r="F94">
        <v>94</v>
      </c>
      <c r="G94">
        <v>9</v>
      </c>
      <c r="H94">
        <v>43</v>
      </c>
    </row>
    <row r="95" spans="1:13" x14ac:dyDescent="0.25">
      <c r="A95" s="38" t="s">
        <v>722</v>
      </c>
      <c r="B95" s="38">
        <v>30.25</v>
      </c>
      <c r="C95" s="38" t="s">
        <v>142</v>
      </c>
      <c r="D95" s="38">
        <v>378.59069554303551</v>
      </c>
      <c r="E95" s="38">
        <v>347.46217587758753</v>
      </c>
      <c r="F95" s="38">
        <v>95</v>
      </c>
      <c r="G95" s="38">
        <v>9</v>
      </c>
      <c r="H95" s="38">
        <v>43</v>
      </c>
      <c r="I95" s="38"/>
      <c r="J95" s="38"/>
      <c r="K95" s="38"/>
      <c r="L95" s="38"/>
      <c r="M95" s="38"/>
    </row>
    <row r="96" spans="1:13" x14ac:dyDescent="0.25">
      <c r="A96" t="s">
        <v>723</v>
      </c>
      <c r="B96">
        <v>30.89</v>
      </c>
      <c r="C96" t="s">
        <v>55</v>
      </c>
      <c r="D96">
        <v>386.22783538819118</v>
      </c>
      <c r="E96">
        <v>355.0993157227432</v>
      </c>
      <c r="F96">
        <v>96</v>
      </c>
      <c r="G96">
        <v>10</v>
      </c>
      <c r="H96">
        <v>44</v>
      </c>
    </row>
    <row r="97" spans="1:13" x14ac:dyDescent="0.25">
      <c r="A97" s="38" t="s">
        <v>724</v>
      </c>
      <c r="B97" s="38">
        <v>30.94</v>
      </c>
      <c r="C97" s="38" t="s">
        <v>143</v>
      </c>
      <c r="D97" s="38">
        <v>387.25699078819116</v>
      </c>
      <c r="E97" s="38">
        <v>355.40806235501168</v>
      </c>
      <c r="F97" s="38">
        <v>97</v>
      </c>
      <c r="G97" s="38">
        <v>10</v>
      </c>
      <c r="H97" s="38">
        <v>44</v>
      </c>
      <c r="I97" s="38"/>
      <c r="J97" s="38"/>
      <c r="K97" s="38"/>
      <c r="L97" s="38"/>
      <c r="M97" s="38"/>
    </row>
    <row r="98" spans="1:13" x14ac:dyDescent="0.25">
      <c r="A98" t="s">
        <v>725</v>
      </c>
      <c r="B98">
        <v>31.58</v>
      </c>
      <c r="C98" t="s">
        <v>56</v>
      </c>
      <c r="D98">
        <v>394.89413063334683</v>
      </c>
      <c r="E98">
        <v>363.04520220016735</v>
      </c>
      <c r="F98">
        <v>98</v>
      </c>
      <c r="G98">
        <v>11</v>
      </c>
      <c r="H98">
        <v>45</v>
      </c>
    </row>
    <row r="99" spans="1:13" x14ac:dyDescent="0.25">
      <c r="A99" s="38" t="s">
        <v>726</v>
      </c>
      <c r="B99" s="38">
        <v>31.64</v>
      </c>
      <c r="C99" s="38" t="s">
        <v>144</v>
      </c>
      <c r="D99" s="38">
        <v>395.92328603334681</v>
      </c>
      <c r="E99" s="38">
        <v>363.35394883243583</v>
      </c>
      <c r="F99" s="38">
        <v>99</v>
      </c>
      <c r="G99" s="38">
        <v>11</v>
      </c>
      <c r="H99" s="38">
        <v>45</v>
      </c>
      <c r="I99" s="38"/>
      <c r="J99" s="38"/>
      <c r="K99" s="38"/>
      <c r="L99" s="38"/>
      <c r="M99" s="38"/>
    </row>
    <row r="100" spans="1:13" x14ac:dyDescent="0.25">
      <c r="A100" t="s">
        <v>727</v>
      </c>
      <c r="B100">
        <v>32.270000000000003</v>
      </c>
      <c r="C100" t="s">
        <v>57</v>
      </c>
      <c r="D100">
        <v>403.56042587850249</v>
      </c>
      <c r="E100">
        <v>370.99108867759151</v>
      </c>
      <c r="F100">
        <v>100</v>
      </c>
      <c r="G100">
        <v>12</v>
      </c>
      <c r="H100">
        <v>46</v>
      </c>
    </row>
    <row r="101" spans="1:13" x14ac:dyDescent="0.25">
      <c r="A101" s="38" t="s">
        <v>728</v>
      </c>
      <c r="B101" s="38">
        <v>32.33</v>
      </c>
      <c r="C101" s="38" t="s">
        <v>145</v>
      </c>
      <c r="D101" s="38">
        <v>404.58958127850246</v>
      </c>
      <c r="E101" s="38">
        <v>371.29983530985999</v>
      </c>
      <c r="F101" s="38">
        <v>101</v>
      </c>
      <c r="G101" s="38">
        <v>12</v>
      </c>
      <c r="H101" s="38">
        <v>46</v>
      </c>
      <c r="I101" s="38"/>
      <c r="J101" s="38"/>
      <c r="K101" s="38"/>
      <c r="L101" s="38"/>
      <c r="M101" s="38"/>
    </row>
    <row r="102" spans="1:13" x14ac:dyDescent="0.25">
      <c r="A102" t="s">
        <v>729</v>
      </c>
      <c r="B102">
        <v>32.97</v>
      </c>
      <c r="C102" t="s">
        <v>58</v>
      </c>
      <c r="D102">
        <v>412.22672112365814</v>
      </c>
      <c r="E102">
        <v>378.93697515501566</v>
      </c>
      <c r="F102">
        <v>102</v>
      </c>
      <c r="G102">
        <v>13</v>
      </c>
      <c r="H102">
        <v>47</v>
      </c>
    </row>
    <row r="103" spans="1:13" x14ac:dyDescent="0.25">
      <c r="A103" s="38" t="s">
        <v>730</v>
      </c>
      <c r="B103" s="38">
        <v>33.020000000000003</v>
      </c>
      <c r="C103" s="38" t="s">
        <v>146</v>
      </c>
      <c r="D103" s="38">
        <v>413.25587652365812</v>
      </c>
      <c r="E103" s="38">
        <v>379.24572178728414</v>
      </c>
      <c r="F103" s="38">
        <v>103</v>
      </c>
      <c r="G103" s="38">
        <v>13</v>
      </c>
      <c r="H103" s="38">
        <v>47</v>
      </c>
      <c r="I103" s="38"/>
      <c r="J103" s="38"/>
      <c r="K103" s="38"/>
      <c r="L103" s="38"/>
      <c r="M103" s="38"/>
    </row>
    <row r="104" spans="1:13" x14ac:dyDescent="0.25">
      <c r="A104" t="s">
        <v>731</v>
      </c>
      <c r="B104">
        <v>33.659999999999997</v>
      </c>
      <c r="C104" t="s">
        <v>59</v>
      </c>
      <c r="D104">
        <v>420.89301636881379</v>
      </c>
      <c r="E104">
        <v>386.88286163243981</v>
      </c>
      <c r="F104">
        <v>104</v>
      </c>
      <c r="G104">
        <v>14</v>
      </c>
      <c r="H104">
        <v>48</v>
      </c>
    </row>
    <row r="105" spans="1:13" x14ac:dyDescent="0.25">
      <c r="A105" s="38" t="s">
        <v>732</v>
      </c>
      <c r="B105" s="38">
        <v>33.71</v>
      </c>
      <c r="C105" s="38" t="s">
        <v>147</v>
      </c>
      <c r="D105" s="38">
        <v>421.92217176881377</v>
      </c>
      <c r="E105" s="38">
        <v>387.19160826470829</v>
      </c>
      <c r="F105" s="38">
        <v>105</v>
      </c>
      <c r="G105" s="38">
        <v>14</v>
      </c>
      <c r="H105" s="38">
        <v>48</v>
      </c>
      <c r="I105" s="38"/>
      <c r="J105" s="38"/>
      <c r="K105" s="38"/>
      <c r="L105" s="38"/>
      <c r="M105" s="38"/>
    </row>
    <row r="106" spans="1:13" x14ac:dyDescent="0.25">
      <c r="A106" t="s">
        <v>733</v>
      </c>
      <c r="B106">
        <v>34.35</v>
      </c>
      <c r="C106" t="s">
        <v>60</v>
      </c>
      <c r="D106">
        <v>429.55931161396944</v>
      </c>
      <c r="E106">
        <v>394.82874810986397</v>
      </c>
      <c r="F106">
        <v>106</v>
      </c>
      <c r="G106">
        <v>15</v>
      </c>
      <c r="H106">
        <v>49</v>
      </c>
    </row>
    <row r="107" spans="1:13" x14ac:dyDescent="0.25">
      <c r="A107" s="38" t="s">
        <v>734</v>
      </c>
      <c r="B107" s="38">
        <v>34.409999999999997</v>
      </c>
      <c r="C107" s="38" t="s">
        <v>148</v>
      </c>
      <c r="D107" s="38">
        <v>430.58846701396942</v>
      </c>
      <c r="E107" s="38">
        <v>395.13749474213245</v>
      </c>
      <c r="F107" s="38">
        <v>107</v>
      </c>
      <c r="G107" s="38">
        <v>15</v>
      </c>
      <c r="H107" s="38">
        <v>49</v>
      </c>
      <c r="I107" s="38"/>
      <c r="J107" s="38"/>
      <c r="K107" s="38"/>
      <c r="L107" s="38"/>
      <c r="M107" s="38"/>
    </row>
    <row r="108" spans="1:13" x14ac:dyDescent="0.25">
      <c r="A108" t="s">
        <v>735</v>
      </c>
      <c r="B108">
        <v>35.04</v>
      </c>
      <c r="C108" t="s">
        <v>61</v>
      </c>
      <c r="D108">
        <v>438.22560685912509</v>
      </c>
      <c r="E108">
        <v>402.77463458728812</v>
      </c>
      <c r="F108">
        <v>108</v>
      </c>
      <c r="G108">
        <v>16</v>
      </c>
      <c r="H108">
        <v>50</v>
      </c>
    </row>
    <row r="109" spans="1:13" x14ac:dyDescent="0.25">
      <c r="A109" s="38" t="s">
        <v>736</v>
      </c>
      <c r="B109" s="38">
        <v>35.1</v>
      </c>
      <c r="C109" s="38" t="s">
        <v>149</v>
      </c>
      <c r="D109" s="38">
        <v>439.25476225912507</v>
      </c>
      <c r="E109" s="38">
        <v>403.0833812195566</v>
      </c>
      <c r="F109" s="38">
        <v>109</v>
      </c>
      <c r="G109" s="38">
        <v>16</v>
      </c>
      <c r="H109" s="38">
        <v>50</v>
      </c>
      <c r="I109" s="38"/>
      <c r="J109" s="38"/>
      <c r="K109" s="38"/>
      <c r="L109" s="38"/>
      <c r="M109" s="38"/>
    </row>
    <row r="110" spans="1:13" x14ac:dyDescent="0.25">
      <c r="A110" t="s">
        <v>737</v>
      </c>
      <c r="B110">
        <v>35.729999999999997</v>
      </c>
      <c r="C110" t="s">
        <v>62</v>
      </c>
      <c r="D110">
        <v>446.89190210428075</v>
      </c>
      <c r="E110">
        <v>410.72052106471227</v>
      </c>
      <c r="F110">
        <v>110</v>
      </c>
      <c r="G110">
        <v>17</v>
      </c>
      <c r="H110">
        <v>51</v>
      </c>
    </row>
    <row r="111" spans="1:13" x14ac:dyDescent="0.25">
      <c r="A111" s="39" t="s">
        <v>738</v>
      </c>
      <c r="B111" s="39">
        <v>36.04</v>
      </c>
      <c r="C111" s="39" t="s">
        <v>150</v>
      </c>
      <c r="D111" s="39">
        <v>450.92105750428072</v>
      </c>
      <c r="E111" s="39">
        <v>414.02926769698075</v>
      </c>
      <c r="F111" s="39">
        <v>111</v>
      </c>
      <c r="G111" s="39">
        <v>17</v>
      </c>
      <c r="H111" s="39">
        <v>51</v>
      </c>
      <c r="I111" s="39"/>
      <c r="J111" s="39"/>
      <c r="K111" s="39"/>
      <c r="L111" s="39"/>
      <c r="M111" s="39"/>
    </row>
    <row r="112" spans="1:13" x14ac:dyDescent="0.25">
      <c r="A112" t="s">
        <v>739</v>
      </c>
      <c r="B112">
        <v>36.68</v>
      </c>
      <c r="C112" t="s">
        <v>63</v>
      </c>
      <c r="D112">
        <v>458.5581973494364</v>
      </c>
      <c r="E112">
        <v>421.66640754213643</v>
      </c>
      <c r="F112">
        <v>112</v>
      </c>
      <c r="G112">
        <v>1</v>
      </c>
      <c r="H112">
        <v>52</v>
      </c>
    </row>
    <row r="113" spans="1:13" x14ac:dyDescent="0.25">
      <c r="A113" s="38" t="s">
        <v>740</v>
      </c>
      <c r="B113" s="38">
        <v>36.729999999999997</v>
      </c>
      <c r="C113" s="38" t="s">
        <v>151</v>
      </c>
      <c r="D113" s="38">
        <v>459.58735274943638</v>
      </c>
      <c r="E113" s="38">
        <v>421.97515417440491</v>
      </c>
      <c r="F113" s="38">
        <v>113</v>
      </c>
      <c r="G113" s="38">
        <v>1</v>
      </c>
      <c r="H113" s="38">
        <v>52</v>
      </c>
      <c r="I113" s="38"/>
      <c r="J113" s="38"/>
      <c r="K113" s="38"/>
      <c r="L113" s="38"/>
      <c r="M113" s="38"/>
    </row>
    <row r="114" spans="1:13" x14ac:dyDescent="0.25">
      <c r="A114" t="s">
        <v>741</v>
      </c>
      <c r="B114">
        <v>37.369999999999997</v>
      </c>
      <c r="C114" t="s">
        <v>64</v>
      </c>
      <c r="D114">
        <v>467.22449259459205</v>
      </c>
      <c r="E114">
        <v>429.61229401956058</v>
      </c>
      <c r="F114">
        <v>114</v>
      </c>
      <c r="G114">
        <v>2</v>
      </c>
      <c r="H114">
        <v>53</v>
      </c>
    </row>
    <row r="115" spans="1:13" x14ac:dyDescent="0.25">
      <c r="A115" s="38" t="s">
        <v>742</v>
      </c>
      <c r="B115" s="38">
        <v>37.42</v>
      </c>
      <c r="C115" s="38" t="s">
        <v>152</v>
      </c>
      <c r="D115" s="38">
        <v>468.25364799459203</v>
      </c>
      <c r="E115" s="38">
        <v>429.92104065182906</v>
      </c>
      <c r="F115" s="38">
        <v>115</v>
      </c>
      <c r="G115" s="38">
        <v>2</v>
      </c>
      <c r="H115" s="38">
        <v>53</v>
      </c>
      <c r="I115" s="38"/>
      <c r="J115" s="38"/>
      <c r="K115" s="38"/>
      <c r="L115" s="38"/>
      <c r="M115" s="38"/>
    </row>
    <row r="116" spans="1:13" x14ac:dyDescent="0.25">
      <c r="A116" t="s">
        <v>743</v>
      </c>
      <c r="B116">
        <v>38.06</v>
      </c>
      <c r="C116" t="s">
        <v>65</v>
      </c>
      <c r="D116">
        <v>475.8907878397477</v>
      </c>
      <c r="E116">
        <v>437.55818049698473</v>
      </c>
      <c r="F116">
        <v>116</v>
      </c>
      <c r="G116">
        <v>3</v>
      </c>
      <c r="H116">
        <v>54</v>
      </c>
    </row>
    <row r="117" spans="1:13" x14ac:dyDescent="0.25">
      <c r="A117" s="38" t="s">
        <v>744</v>
      </c>
      <c r="B117" s="38">
        <v>38.119999999999997</v>
      </c>
      <c r="C117" s="38" t="s">
        <v>153</v>
      </c>
      <c r="D117" s="38">
        <v>476.91994323974768</v>
      </c>
      <c r="E117" s="38">
        <v>437.86692712925321</v>
      </c>
      <c r="F117" s="38">
        <v>117</v>
      </c>
      <c r="G117" s="38">
        <v>3</v>
      </c>
      <c r="H117" s="38">
        <v>54</v>
      </c>
      <c r="I117" s="38"/>
      <c r="J117" s="38"/>
      <c r="K117" s="38"/>
      <c r="L117" s="38"/>
      <c r="M117" s="38"/>
    </row>
    <row r="118" spans="1:13" x14ac:dyDescent="0.25">
      <c r="A118" t="s">
        <v>745</v>
      </c>
      <c r="B118">
        <v>38.75</v>
      </c>
      <c r="C118" t="s">
        <v>66</v>
      </c>
      <c r="D118">
        <v>484.55708308490335</v>
      </c>
      <c r="E118">
        <v>445.50406697440889</v>
      </c>
      <c r="F118">
        <v>118</v>
      </c>
      <c r="G118">
        <v>4</v>
      </c>
      <c r="H118">
        <v>55</v>
      </c>
    </row>
    <row r="119" spans="1:13" x14ac:dyDescent="0.25">
      <c r="A119" s="38" t="s">
        <v>746</v>
      </c>
      <c r="B119" s="38">
        <v>38.81</v>
      </c>
      <c r="C119" s="38" t="s">
        <v>154</v>
      </c>
      <c r="D119" s="38">
        <v>485.58623848490333</v>
      </c>
      <c r="E119" s="38">
        <v>445.81281360667737</v>
      </c>
      <c r="F119" s="38">
        <v>119</v>
      </c>
      <c r="G119" s="38">
        <v>4</v>
      </c>
      <c r="H119" s="38">
        <v>55</v>
      </c>
      <c r="I119" s="38"/>
      <c r="J119" s="38"/>
      <c r="K119" s="38"/>
      <c r="L119" s="38"/>
      <c r="M119" s="38"/>
    </row>
    <row r="120" spans="1:13" x14ac:dyDescent="0.25">
      <c r="A120" t="s">
        <v>747</v>
      </c>
      <c r="B120">
        <v>39.44</v>
      </c>
      <c r="C120" t="s">
        <v>67</v>
      </c>
      <c r="D120">
        <v>493.22337833005901</v>
      </c>
      <c r="E120">
        <v>453.44995345183304</v>
      </c>
      <c r="F120">
        <v>120</v>
      </c>
      <c r="G120">
        <v>5</v>
      </c>
      <c r="H120">
        <v>56</v>
      </c>
    </row>
    <row r="121" spans="1:13" x14ac:dyDescent="0.25">
      <c r="A121" s="38" t="s">
        <v>748</v>
      </c>
      <c r="B121" s="38">
        <v>39.5</v>
      </c>
      <c r="C121" s="38" t="s">
        <v>155</v>
      </c>
      <c r="D121" s="38">
        <v>494.25253373005899</v>
      </c>
      <c r="E121" s="38">
        <v>453.75870008410152</v>
      </c>
      <c r="F121" s="38">
        <v>121</v>
      </c>
      <c r="G121" s="38">
        <v>5</v>
      </c>
      <c r="H121" s="38">
        <v>56</v>
      </c>
      <c r="I121" s="38"/>
      <c r="J121" s="38"/>
      <c r="K121" s="38"/>
      <c r="L121" s="38"/>
      <c r="M121" s="38"/>
    </row>
    <row r="122" spans="1:13" x14ac:dyDescent="0.25">
      <c r="A122" t="s">
        <v>749</v>
      </c>
      <c r="B122">
        <v>40.14</v>
      </c>
      <c r="C122" t="s">
        <v>68</v>
      </c>
      <c r="D122">
        <v>501.88967357521466</v>
      </c>
      <c r="E122">
        <v>461.39583992925719</v>
      </c>
      <c r="F122">
        <v>122</v>
      </c>
      <c r="G122">
        <v>6</v>
      </c>
      <c r="H122">
        <v>57</v>
      </c>
    </row>
    <row r="123" spans="1:13" x14ac:dyDescent="0.25">
      <c r="A123" s="38" t="s">
        <v>750</v>
      </c>
      <c r="B123" s="38">
        <v>40.19</v>
      </c>
      <c r="C123" s="38" t="s">
        <v>156</v>
      </c>
      <c r="D123" s="38">
        <v>502.91882897521464</v>
      </c>
      <c r="E123" s="38">
        <v>461.70458656152567</v>
      </c>
      <c r="F123" s="38">
        <v>123</v>
      </c>
      <c r="G123" s="38">
        <v>6</v>
      </c>
      <c r="H123" s="38">
        <v>57</v>
      </c>
      <c r="I123" s="38"/>
      <c r="J123" s="38"/>
      <c r="K123" s="38"/>
      <c r="L123" s="38"/>
      <c r="M123" s="38"/>
    </row>
    <row r="124" spans="1:13" x14ac:dyDescent="0.25">
      <c r="A124" t="s">
        <v>751</v>
      </c>
      <c r="B124">
        <v>40.83</v>
      </c>
      <c r="C124" t="s">
        <v>69</v>
      </c>
      <c r="D124">
        <v>510.55596882037031</v>
      </c>
      <c r="E124">
        <v>469.34172640668135</v>
      </c>
      <c r="F124">
        <v>124</v>
      </c>
      <c r="G124">
        <v>7</v>
      </c>
      <c r="H124">
        <v>58</v>
      </c>
    </row>
    <row r="125" spans="1:13" x14ac:dyDescent="0.25">
      <c r="A125" s="38" t="s">
        <v>752</v>
      </c>
      <c r="B125" s="38">
        <v>40.880000000000003</v>
      </c>
      <c r="C125" s="38" t="s">
        <v>157</v>
      </c>
      <c r="D125" s="38">
        <v>511.58512422037029</v>
      </c>
      <c r="E125" s="38">
        <v>469.65047303894983</v>
      </c>
      <c r="F125" s="38">
        <v>125</v>
      </c>
      <c r="G125" s="38">
        <v>7</v>
      </c>
      <c r="H125" s="38">
        <v>58</v>
      </c>
      <c r="I125" s="38"/>
      <c r="J125" s="38"/>
      <c r="K125" s="38"/>
      <c r="L125" s="38"/>
      <c r="M125" s="38"/>
    </row>
    <row r="126" spans="1:13" x14ac:dyDescent="0.25">
      <c r="A126" t="s">
        <v>753</v>
      </c>
      <c r="B126">
        <v>41.52</v>
      </c>
      <c r="C126" t="s">
        <v>70</v>
      </c>
      <c r="D126">
        <v>519.22226406552602</v>
      </c>
      <c r="E126">
        <v>477.2876128841055</v>
      </c>
      <c r="F126">
        <v>126</v>
      </c>
      <c r="G126">
        <v>8</v>
      </c>
      <c r="H126">
        <v>59</v>
      </c>
    </row>
    <row r="127" spans="1:13" x14ac:dyDescent="0.25">
      <c r="A127" s="38" t="s">
        <v>754</v>
      </c>
      <c r="B127" s="38">
        <v>41.58</v>
      </c>
      <c r="C127" s="38" t="s">
        <v>158</v>
      </c>
      <c r="D127" s="38">
        <v>520.25141946552606</v>
      </c>
      <c r="E127" s="38">
        <v>477.59635951637398</v>
      </c>
      <c r="F127" s="38">
        <v>127</v>
      </c>
      <c r="G127" s="38">
        <v>8</v>
      </c>
      <c r="H127" s="38">
        <v>59</v>
      </c>
      <c r="I127" s="38"/>
      <c r="J127" s="38"/>
      <c r="K127" s="38"/>
      <c r="L127" s="38"/>
      <c r="M127" s="38"/>
    </row>
    <row r="128" spans="1:13" x14ac:dyDescent="0.25">
      <c r="A128" t="s">
        <v>755</v>
      </c>
      <c r="B128">
        <v>42.21</v>
      </c>
      <c r="C128" t="s">
        <v>71</v>
      </c>
      <c r="D128">
        <v>527.88855931068179</v>
      </c>
      <c r="E128">
        <v>485.23349936152965</v>
      </c>
      <c r="F128">
        <v>128</v>
      </c>
      <c r="G128">
        <v>9</v>
      </c>
      <c r="H128">
        <v>60</v>
      </c>
    </row>
    <row r="129" spans="1:13" x14ac:dyDescent="0.25">
      <c r="A129" s="38" t="s">
        <v>756</v>
      </c>
      <c r="B129" s="38">
        <v>42.27</v>
      </c>
      <c r="C129" s="38" t="s">
        <v>159</v>
      </c>
      <c r="D129" s="38">
        <v>528.91771471068182</v>
      </c>
      <c r="E129" s="38">
        <v>485.54224599379813</v>
      </c>
      <c r="F129" s="38">
        <v>129</v>
      </c>
      <c r="G129" s="38">
        <v>9</v>
      </c>
      <c r="H129" s="38">
        <v>60</v>
      </c>
      <c r="I129" s="38"/>
      <c r="J129" s="38"/>
      <c r="K129" s="38"/>
      <c r="L129" s="38"/>
      <c r="M129" s="38"/>
    </row>
    <row r="130" spans="1:13" x14ac:dyDescent="0.25">
      <c r="A130" t="s">
        <v>757</v>
      </c>
      <c r="B130">
        <v>42.91</v>
      </c>
      <c r="C130" t="s">
        <v>72</v>
      </c>
      <c r="D130">
        <v>536.55485455583755</v>
      </c>
      <c r="E130">
        <v>493.17938583895381</v>
      </c>
      <c r="F130">
        <v>130</v>
      </c>
      <c r="G130">
        <v>10</v>
      </c>
      <c r="H130">
        <v>61</v>
      </c>
    </row>
    <row r="131" spans="1:13" x14ac:dyDescent="0.25">
      <c r="A131" s="38" t="s">
        <v>758</v>
      </c>
      <c r="B131" s="38">
        <v>42.96</v>
      </c>
      <c r="C131" s="38" t="s">
        <v>160</v>
      </c>
      <c r="D131" s="38">
        <v>537.58400995583759</v>
      </c>
      <c r="E131" s="38">
        <v>493.48813247122229</v>
      </c>
      <c r="F131" s="38">
        <v>131</v>
      </c>
      <c r="G131" s="38">
        <v>10</v>
      </c>
      <c r="H131" s="38">
        <v>61</v>
      </c>
      <c r="I131" s="38"/>
      <c r="J131" s="38"/>
      <c r="K131" s="38"/>
      <c r="L131" s="38"/>
      <c r="M131" s="38"/>
    </row>
    <row r="132" spans="1:13" x14ac:dyDescent="0.25">
      <c r="A132" t="s">
        <v>759</v>
      </c>
      <c r="B132">
        <v>43.6</v>
      </c>
      <c r="C132" t="s">
        <v>73</v>
      </c>
      <c r="D132">
        <v>545.22114980099332</v>
      </c>
      <c r="E132">
        <v>501.12527231637796</v>
      </c>
      <c r="F132">
        <v>132</v>
      </c>
      <c r="G132">
        <v>11</v>
      </c>
      <c r="H132">
        <v>62</v>
      </c>
    </row>
    <row r="133" spans="1:13" x14ac:dyDescent="0.25">
      <c r="A133" s="38" t="s">
        <v>760</v>
      </c>
      <c r="B133" s="38">
        <v>43.65</v>
      </c>
      <c r="C133" s="38" t="s">
        <v>161</v>
      </c>
      <c r="D133" s="38">
        <v>546.25030520099335</v>
      </c>
      <c r="E133" s="38">
        <v>501.43401894864644</v>
      </c>
      <c r="F133" s="38">
        <v>133</v>
      </c>
      <c r="G133" s="38">
        <v>11</v>
      </c>
      <c r="H133" s="38">
        <v>62</v>
      </c>
      <c r="I133" s="38"/>
      <c r="J133" s="38"/>
      <c r="K133" s="38"/>
      <c r="L133" s="38"/>
      <c r="M133" s="38"/>
    </row>
    <row r="134" spans="1:13" x14ac:dyDescent="0.25">
      <c r="A134" t="s">
        <v>761</v>
      </c>
      <c r="B134">
        <v>44.29</v>
      </c>
      <c r="C134" t="s">
        <v>74</v>
      </c>
      <c r="D134">
        <v>553.88744504614908</v>
      </c>
      <c r="E134">
        <v>509.07115879380211</v>
      </c>
      <c r="F134">
        <v>134</v>
      </c>
      <c r="G134">
        <v>12</v>
      </c>
      <c r="H134">
        <v>63</v>
      </c>
    </row>
    <row r="135" spans="1:13" x14ac:dyDescent="0.25">
      <c r="A135" s="38" t="s">
        <v>762</v>
      </c>
      <c r="B135" s="38">
        <v>44.35</v>
      </c>
      <c r="C135" s="38" t="s">
        <v>162</v>
      </c>
      <c r="D135" s="38">
        <v>554.91660044614912</v>
      </c>
      <c r="E135" s="38">
        <v>509.37990542607059</v>
      </c>
      <c r="F135" s="38">
        <v>135</v>
      </c>
      <c r="G135" s="38">
        <v>12</v>
      </c>
      <c r="H135" s="38">
        <v>63</v>
      </c>
      <c r="I135" s="38"/>
      <c r="J135" s="38"/>
      <c r="K135" s="38"/>
      <c r="L135" s="38"/>
      <c r="M135" s="38"/>
    </row>
    <row r="136" spans="1:13" x14ac:dyDescent="0.25">
      <c r="A136" t="s">
        <v>763</v>
      </c>
      <c r="B136">
        <v>44.98</v>
      </c>
      <c r="C136" t="s">
        <v>75</v>
      </c>
      <c r="D136">
        <v>562.55374029130485</v>
      </c>
      <c r="E136">
        <v>517.01704527122627</v>
      </c>
      <c r="F136">
        <v>136</v>
      </c>
      <c r="G136">
        <v>13</v>
      </c>
      <c r="H136">
        <v>64</v>
      </c>
    </row>
    <row r="137" spans="1:13" x14ac:dyDescent="0.25">
      <c r="A137" s="38" t="s">
        <v>764</v>
      </c>
      <c r="B137" s="38">
        <v>45.04</v>
      </c>
      <c r="C137" s="38" t="s">
        <v>163</v>
      </c>
      <c r="D137" s="38">
        <v>563.58289569130488</v>
      </c>
      <c r="E137" s="38">
        <v>517.32579190349475</v>
      </c>
      <c r="F137" s="38">
        <v>137</v>
      </c>
      <c r="G137" s="38">
        <v>13</v>
      </c>
      <c r="H137" s="38">
        <v>64</v>
      </c>
      <c r="I137" s="38"/>
      <c r="J137" s="38"/>
      <c r="K137" s="38"/>
      <c r="L137" s="38"/>
      <c r="M137" s="38"/>
    </row>
    <row r="138" spans="1:13" x14ac:dyDescent="0.25">
      <c r="A138" t="s">
        <v>765</v>
      </c>
      <c r="B138">
        <v>45.67</v>
      </c>
      <c r="C138" t="s">
        <v>76</v>
      </c>
      <c r="D138">
        <v>571.22003553646061</v>
      </c>
      <c r="E138">
        <v>524.96293174865048</v>
      </c>
      <c r="F138">
        <v>138</v>
      </c>
      <c r="G138">
        <v>14</v>
      </c>
      <c r="H138">
        <v>65</v>
      </c>
    </row>
    <row r="139" spans="1:13" x14ac:dyDescent="0.25">
      <c r="A139" s="38" t="s">
        <v>766</v>
      </c>
      <c r="B139" s="38">
        <v>45.73</v>
      </c>
      <c r="C139" s="38" t="s">
        <v>164</v>
      </c>
      <c r="D139" s="38">
        <v>572.24919093646065</v>
      </c>
      <c r="E139" s="38">
        <v>525.27167838091896</v>
      </c>
      <c r="F139" s="38">
        <v>139</v>
      </c>
      <c r="G139" s="38">
        <v>14</v>
      </c>
      <c r="H139" s="38">
        <v>65</v>
      </c>
      <c r="I139" s="38"/>
      <c r="J139" s="38"/>
      <c r="K139" s="38"/>
      <c r="L139" s="38"/>
      <c r="M139" s="38"/>
    </row>
    <row r="140" spans="1:13" x14ac:dyDescent="0.25">
      <c r="A140" t="s">
        <v>767</v>
      </c>
      <c r="B140">
        <v>46.37</v>
      </c>
      <c r="C140" t="s">
        <v>77</v>
      </c>
      <c r="D140">
        <v>579.88633078161638</v>
      </c>
      <c r="E140">
        <v>532.90881822607469</v>
      </c>
      <c r="F140">
        <v>140</v>
      </c>
      <c r="G140">
        <v>15</v>
      </c>
      <c r="H140">
        <v>66</v>
      </c>
    </row>
    <row r="141" spans="1:13" x14ac:dyDescent="0.25">
      <c r="A141" s="38" t="s">
        <v>768</v>
      </c>
      <c r="B141" s="38">
        <v>46.42</v>
      </c>
      <c r="C141" s="38" t="s">
        <v>165</v>
      </c>
      <c r="D141" s="38">
        <v>580.91548618161642</v>
      </c>
      <c r="E141" s="38">
        <v>533.21756485834317</v>
      </c>
      <c r="F141" s="38">
        <v>141</v>
      </c>
      <c r="G141" s="38">
        <v>15</v>
      </c>
      <c r="H141" s="38">
        <v>66</v>
      </c>
      <c r="I141" s="38"/>
      <c r="J141" s="38"/>
      <c r="K141" s="38"/>
      <c r="L141" s="38"/>
      <c r="M141" s="38"/>
    </row>
    <row r="142" spans="1:13" x14ac:dyDescent="0.25">
      <c r="A142" t="s">
        <v>769</v>
      </c>
      <c r="B142">
        <v>47.06</v>
      </c>
      <c r="C142" t="s">
        <v>78</v>
      </c>
      <c r="D142">
        <v>588.55262602677215</v>
      </c>
      <c r="E142">
        <v>540.8547047034989</v>
      </c>
      <c r="F142">
        <v>142</v>
      </c>
      <c r="G142">
        <v>16</v>
      </c>
      <c r="H142">
        <v>67</v>
      </c>
    </row>
    <row r="143" spans="1:13" x14ac:dyDescent="0.25">
      <c r="A143" s="38" t="s">
        <v>770</v>
      </c>
      <c r="B143" s="38">
        <v>47.11</v>
      </c>
      <c r="C143" s="38" t="s">
        <v>166</v>
      </c>
      <c r="D143" s="38">
        <v>589.58178142677218</v>
      </c>
      <c r="E143" s="38">
        <v>541.16345133576738</v>
      </c>
      <c r="F143" s="38">
        <v>143</v>
      </c>
      <c r="G143" s="38">
        <v>16</v>
      </c>
      <c r="H143" s="38">
        <v>67</v>
      </c>
      <c r="I143" s="38"/>
      <c r="J143" s="38"/>
      <c r="K143" s="38"/>
      <c r="L143" s="38"/>
      <c r="M143" s="38"/>
    </row>
    <row r="144" spans="1:13" x14ac:dyDescent="0.25">
      <c r="A144" t="s">
        <v>771</v>
      </c>
      <c r="B144">
        <v>47.75</v>
      </c>
      <c r="C144" t="s">
        <v>79</v>
      </c>
      <c r="D144">
        <v>597.21892127192791</v>
      </c>
      <c r="E144">
        <v>548.80059118092311</v>
      </c>
      <c r="F144">
        <v>144</v>
      </c>
      <c r="G144">
        <v>17</v>
      </c>
      <c r="H144">
        <v>68</v>
      </c>
    </row>
    <row r="145" spans="1:13" x14ac:dyDescent="0.25">
      <c r="A145" s="39" t="s">
        <v>772</v>
      </c>
      <c r="B145" s="39">
        <v>48.06</v>
      </c>
      <c r="C145" s="39" t="s">
        <v>167</v>
      </c>
      <c r="D145" s="39">
        <v>601.24807667192795</v>
      </c>
      <c r="E145" s="39">
        <v>552.10933781319159</v>
      </c>
      <c r="F145" s="39">
        <v>145</v>
      </c>
      <c r="G145" s="39">
        <v>17</v>
      </c>
      <c r="H145" s="39">
        <v>68</v>
      </c>
      <c r="I145" s="39"/>
      <c r="J145" s="39"/>
      <c r="K145" s="39"/>
      <c r="L145" s="39"/>
      <c r="M145" s="39"/>
    </row>
    <row r="146" spans="1:13" x14ac:dyDescent="0.25">
      <c r="A146" t="s">
        <v>773</v>
      </c>
      <c r="B146">
        <v>48.69</v>
      </c>
      <c r="C146" t="s">
        <v>80</v>
      </c>
      <c r="D146">
        <v>608.88521651708368</v>
      </c>
      <c r="E146">
        <v>559.74647765834732</v>
      </c>
      <c r="F146">
        <v>146</v>
      </c>
      <c r="G146">
        <v>1</v>
      </c>
      <c r="H146">
        <v>69</v>
      </c>
    </row>
    <row r="147" spans="1:13" x14ac:dyDescent="0.25">
      <c r="A147" s="38" t="s">
        <v>774</v>
      </c>
      <c r="B147" s="38">
        <v>48.75</v>
      </c>
      <c r="C147" s="38" t="s">
        <v>168</v>
      </c>
      <c r="D147" s="38">
        <v>609.91437191708371</v>
      </c>
      <c r="E147" s="38">
        <v>560.0552242906158</v>
      </c>
      <c r="F147" s="38">
        <v>147</v>
      </c>
      <c r="G147" s="38">
        <v>1</v>
      </c>
      <c r="H147" s="38">
        <v>69</v>
      </c>
      <c r="I147" s="38"/>
      <c r="J147" s="38"/>
      <c r="K147" s="38"/>
      <c r="L147" s="38"/>
      <c r="M147" s="38"/>
    </row>
    <row r="148" spans="1:13" x14ac:dyDescent="0.25">
      <c r="A148" t="s">
        <v>775</v>
      </c>
      <c r="B148">
        <v>49.39</v>
      </c>
      <c r="C148" t="s">
        <v>81</v>
      </c>
      <c r="D148">
        <v>617.55151176223944</v>
      </c>
      <c r="E148">
        <v>567.69236413577153</v>
      </c>
      <c r="F148">
        <v>148</v>
      </c>
      <c r="G148">
        <v>2</v>
      </c>
      <c r="H148">
        <v>70</v>
      </c>
    </row>
    <row r="149" spans="1:13" x14ac:dyDescent="0.25">
      <c r="A149" s="38" t="s">
        <v>776</v>
      </c>
      <c r="B149" s="38">
        <v>49.44</v>
      </c>
      <c r="C149" s="38" t="s">
        <v>169</v>
      </c>
      <c r="D149" s="38">
        <v>618.58066716223948</v>
      </c>
      <c r="E149" s="38">
        <v>568.00111076804001</v>
      </c>
      <c r="F149" s="38">
        <v>149</v>
      </c>
      <c r="G149" s="38">
        <v>2</v>
      </c>
      <c r="H149" s="38">
        <v>70</v>
      </c>
      <c r="I149" s="38"/>
      <c r="J149" s="38"/>
      <c r="K149" s="38"/>
      <c r="L149" s="38"/>
      <c r="M149" s="38"/>
    </row>
    <row r="150" spans="1:13" x14ac:dyDescent="0.25">
      <c r="A150" t="s">
        <v>777</v>
      </c>
      <c r="B150">
        <v>50.08</v>
      </c>
      <c r="C150" t="s">
        <v>82</v>
      </c>
      <c r="D150">
        <v>626.21780700739521</v>
      </c>
      <c r="E150">
        <v>575.63825061319574</v>
      </c>
      <c r="F150">
        <v>150</v>
      </c>
      <c r="G150">
        <v>3</v>
      </c>
      <c r="H150">
        <v>71</v>
      </c>
    </row>
    <row r="151" spans="1:13" x14ac:dyDescent="0.25">
      <c r="A151" s="38" t="s">
        <v>778</v>
      </c>
      <c r="B151" s="38">
        <v>50.13</v>
      </c>
      <c r="C151" s="38" t="s">
        <v>170</v>
      </c>
      <c r="D151" s="38">
        <v>627.24696240739524</v>
      </c>
      <c r="E151" s="38">
        <v>575.94699724546422</v>
      </c>
      <c r="F151" s="38">
        <v>151</v>
      </c>
      <c r="G151" s="38">
        <v>3</v>
      </c>
      <c r="H151" s="38">
        <v>71</v>
      </c>
      <c r="I151" s="38"/>
      <c r="J151" s="38"/>
      <c r="K151" s="38"/>
      <c r="L151" s="38"/>
      <c r="M151" s="38"/>
    </row>
    <row r="152" spans="1:13" x14ac:dyDescent="0.25">
      <c r="A152" t="s">
        <v>779</v>
      </c>
      <c r="B152">
        <v>50.77</v>
      </c>
      <c r="C152" t="s">
        <v>83</v>
      </c>
      <c r="D152">
        <v>634.88410225255097</v>
      </c>
      <c r="E152">
        <v>583.58413709061995</v>
      </c>
      <c r="F152">
        <v>152</v>
      </c>
      <c r="G152">
        <v>4</v>
      </c>
      <c r="H152">
        <v>72</v>
      </c>
    </row>
    <row r="153" spans="1:13" x14ac:dyDescent="0.25">
      <c r="A153" s="38" t="s">
        <v>780</v>
      </c>
      <c r="B153" s="38">
        <v>50.83</v>
      </c>
      <c r="C153" s="38" t="s">
        <v>171</v>
      </c>
      <c r="D153" s="38">
        <v>635.91325765255101</v>
      </c>
      <c r="E153" s="38">
        <v>583.89288372288843</v>
      </c>
      <c r="F153" s="38">
        <v>153</v>
      </c>
      <c r="G153" s="38">
        <v>4</v>
      </c>
      <c r="H153" s="38">
        <v>72</v>
      </c>
      <c r="I153" s="38"/>
      <c r="J153" s="38"/>
      <c r="K153" s="38"/>
      <c r="L153" s="38"/>
      <c r="M153" s="38"/>
    </row>
    <row r="154" spans="1:13" x14ac:dyDescent="0.25">
      <c r="A154" t="s">
        <v>781</v>
      </c>
      <c r="B154">
        <v>51.46</v>
      </c>
      <c r="C154" t="s">
        <v>84</v>
      </c>
      <c r="D154">
        <v>643.55039749770674</v>
      </c>
      <c r="E154">
        <v>591.53002356804416</v>
      </c>
      <c r="F154">
        <v>154</v>
      </c>
      <c r="G154">
        <v>5</v>
      </c>
      <c r="H154">
        <v>73</v>
      </c>
    </row>
    <row r="155" spans="1:13" x14ac:dyDescent="0.25">
      <c r="A155" s="38" t="s">
        <v>782</v>
      </c>
      <c r="B155" s="38">
        <v>51.52</v>
      </c>
      <c r="C155" s="38" t="s">
        <v>172</v>
      </c>
      <c r="D155" s="38">
        <v>644.57955289770678</v>
      </c>
      <c r="E155" s="38">
        <v>591.83877020031264</v>
      </c>
      <c r="F155" s="38">
        <v>155</v>
      </c>
      <c r="G155" s="38">
        <v>5</v>
      </c>
      <c r="H155" s="38">
        <v>73</v>
      </c>
      <c r="I155" s="38"/>
      <c r="J155" s="38"/>
      <c r="K155" s="38"/>
      <c r="L155" s="38"/>
      <c r="M155" s="38"/>
    </row>
    <row r="156" spans="1:13" x14ac:dyDescent="0.25">
      <c r="A156" t="s">
        <v>783</v>
      </c>
      <c r="B156">
        <v>52.15</v>
      </c>
      <c r="C156" t="s">
        <v>85</v>
      </c>
      <c r="D156">
        <v>652.21669274286251</v>
      </c>
      <c r="E156">
        <v>599.47591004546837</v>
      </c>
      <c r="F156">
        <v>156</v>
      </c>
      <c r="G156">
        <v>6</v>
      </c>
      <c r="H156">
        <v>74</v>
      </c>
    </row>
    <row r="157" spans="1:13" x14ac:dyDescent="0.25">
      <c r="A157" s="38" t="s">
        <v>784</v>
      </c>
      <c r="B157" s="38">
        <v>52.21</v>
      </c>
      <c r="C157" s="38" t="s">
        <v>173</v>
      </c>
      <c r="D157" s="38">
        <v>653.24584814286254</v>
      </c>
      <c r="E157" s="38">
        <v>599.78465667773685</v>
      </c>
      <c r="F157" s="38">
        <v>157</v>
      </c>
      <c r="G157" s="38">
        <v>6</v>
      </c>
      <c r="H157" s="38">
        <v>74</v>
      </c>
      <c r="I157" s="38"/>
      <c r="J157" s="38"/>
      <c r="K157" s="38"/>
      <c r="L157" s="38"/>
      <c r="M157" s="38"/>
    </row>
    <row r="158" spans="1:13" x14ac:dyDescent="0.25">
      <c r="A158" t="s">
        <v>785</v>
      </c>
      <c r="B158">
        <v>52.85</v>
      </c>
      <c r="C158" t="s">
        <v>86</v>
      </c>
      <c r="D158">
        <v>660.88298798801827</v>
      </c>
      <c r="E158">
        <v>607.42179652289258</v>
      </c>
      <c r="F158">
        <v>158</v>
      </c>
      <c r="G158">
        <v>7</v>
      </c>
      <c r="H158">
        <v>75</v>
      </c>
    </row>
    <row r="159" spans="1:13" x14ac:dyDescent="0.25">
      <c r="A159" s="38" t="s">
        <v>786</v>
      </c>
      <c r="B159" s="38">
        <v>52.9</v>
      </c>
      <c r="C159" s="38" t="s">
        <v>174</v>
      </c>
      <c r="D159" s="38">
        <v>661.91214338801831</v>
      </c>
      <c r="E159" s="38">
        <v>607.73054315516106</v>
      </c>
      <c r="F159" s="38">
        <v>159</v>
      </c>
      <c r="G159" s="38">
        <v>7</v>
      </c>
      <c r="H159" s="38">
        <v>75</v>
      </c>
      <c r="I159" s="38"/>
      <c r="J159" s="38"/>
      <c r="K159" s="38"/>
      <c r="L159" s="38"/>
      <c r="M159" s="38"/>
    </row>
    <row r="160" spans="1:13" x14ac:dyDescent="0.25">
      <c r="A160" t="s">
        <v>787</v>
      </c>
      <c r="B160">
        <v>53.54</v>
      </c>
      <c r="C160" t="s">
        <v>87</v>
      </c>
      <c r="D160">
        <v>669.54928323317404</v>
      </c>
      <c r="E160">
        <v>615.36768300031679</v>
      </c>
      <c r="F160">
        <v>160</v>
      </c>
      <c r="G160">
        <v>8</v>
      </c>
      <c r="H160">
        <v>76</v>
      </c>
    </row>
    <row r="161" spans="1:13" x14ac:dyDescent="0.25">
      <c r="A161" s="38" t="s">
        <v>788</v>
      </c>
      <c r="B161" s="38">
        <v>53.59</v>
      </c>
      <c r="C161" s="38" t="s">
        <v>175</v>
      </c>
      <c r="D161" s="38">
        <v>670.57843863317407</v>
      </c>
      <c r="E161" s="38">
        <v>615.67642963258527</v>
      </c>
      <c r="F161" s="38">
        <v>161</v>
      </c>
      <c r="G161" s="38">
        <v>8</v>
      </c>
      <c r="H161" s="38">
        <v>76</v>
      </c>
      <c r="I161" s="38"/>
      <c r="J161" s="38"/>
      <c r="K161" s="38"/>
      <c r="L161" s="38"/>
      <c r="M161" s="38"/>
    </row>
    <row r="162" spans="1:13" x14ac:dyDescent="0.25">
      <c r="A162" t="s">
        <v>789</v>
      </c>
      <c r="B162">
        <v>54.23</v>
      </c>
      <c r="C162" t="s">
        <v>88</v>
      </c>
      <c r="D162">
        <v>678.2155784783298</v>
      </c>
      <c r="E162">
        <v>623.313569477741</v>
      </c>
      <c r="F162">
        <v>162</v>
      </c>
      <c r="G162">
        <v>9</v>
      </c>
      <c r="H162">
        <v>77</v>
      </c>
    </row>
    <row r="163" spans="1:13" x14ac:dyDescent="0.25">
      <c r="A163" s="38" t="s">
        <v>790</v>
      </c>
      <c r="B163" s="38">
        <v>54.29</v>
      </c>
      <c r="C163" s="38" t="s">
        <v>176</v>
      </c>
      <c r="D163" s="38">
        <v>679.24473387832984</v>
      </c>
      <c r="E163" s="38">
        <v>623.62231611000948</v>
      </c>
      <c r="F163" s="38">
        <v>163</v>
      </c>
      <c r="G163" s="38">
        <v>9</v>
      </c>
      <c r="H163" s="38">
        <v>77</v>
      </c>
      <c r="I163" s="38"/>
      <c r="J163" s="38"/>
      <c r="K163" s="38"/>
      <c r="L163" s="38"/>
      <c r="M163" s="38"/>
    </row>
    <row r="164" spans="1:13" x14ac:dyDescent="0.25">
      <c r="A164" t="s">
        <v>791</v>
      </c>
      <c r="B164">
        <v>54.92</v>
      </c>
      <c r="C164" t="s">
        <v>177</v>
      </c>
      <c r="D164">
        <v>686.88187372348557</v>
      </c>
      <c r="E164">
        <v>631.25945595516521</v>
      </c>
      <c r="F164">
        <v>164</v>
      </c>
      <c r="G164">
        <v>10</v>
      </c>
      <c r="H164">
        <v>78</v>
      </c>
    </row>
    <row r="165" spans="1:13" x14ac:dyDescent="0.25">
      <c r="A165" s="38" t="s">
        <v>792</v>
      </c>
      <c r="B165" s="38">
        <v>54.98</v>
      </c>
      <c r="C165" s="38" t="s">
        <v>178</v>
      </c>
      <c r="D165" s="38">
        <v>687.9110291234856</v>
      </c>
      <c r="E165" s="38">
        <v>631.56820258743369</v>
      </c>
      <c r="F165" s="38">
        <v>165</v>
      </c>
      <c r="G165" s="38">
        <v>10</v>
      </c>
      <c r="H165" s="38">
        <v>78</v>
      </c>
      <c r="I165" s="38"/>
      <c r="J165" s="38"/>
      <c r="K165" s="38"/>
      <c r="L165" s="38"/>
      <c r="M165" s="38"/>
    </row>
    <row r="166" spans="1:13" x14ac:dyDescent="0.25">
      <c r="A166" t="s">
        <v>793</v>
      </c>
      <c r="B166">
        <v>55.61</v>
      </c>
      <c r="C166" t="s">
        <v>179</v>
      </c>
      <c r="D166">
        <v>695.54816896864133</v>
      </c>
      <c r="E166">
        <v>639.20534243258942</v>
      </c>
      <c r="F166">
        <v>166</v>
      </c>
      <c r="G166">
        <v>11</v>
      </c>
      <c r="H166">
        <v>79</v>
      </c>
    </row>
    <row r="167" spans="1:13" x14ac:dyDescent="0.25">
      <c r="A167" s="38" t="s">
        <v>794</v>
      </c>
      <c r="B167" s="38">
        <v>55.67</v>
      </c>
      <c r="C167" s="38" t="s">
        <v>180</v>
      </c>
      <c r="D167" s="38">
        <v>696.57732436864137</v>
      </c>
      <c r="E167" s="38">
        <v>639.5140890648579</v>
      </c>
      <c r="F167" s="38">
        <v>167</v>
      </c>
      <c r="G167" s="38">
        <v>11</v>
      </c>
      <c r="H167" s="38">
        <v>79</v>
      </c>
      <c r="I167" s="38"/>
      <c r="J167" s="38"/>
      <c r="K167" s="38"/>
      <c r="L167" s="38"/>
      <c r="M167" s="38"/>
    </row>
    <row r="168" spans="1:13" x14ac:dyDescent="0.25">
      <c r="A168" t="s">
        <v>795</v>
      </c>
      <c r="B168">
        <v>56.31</v>
      </c>
      <c r="C168" t="s">
        <v>181</v>
      </c>
      <c r="D168">
        <v>704.2144642137971</v>
      </c>
      <c r="E168">
        <v>647.15122891001363</v>
      </c>
      <c r="F168">
        <v>168</v>
      </c>
      <c r="G168">
        <v>12</v>
      </c>
      <c r="H168">
        <v>80</v>
      </c>
    </row>
    <row r="169" spans="1:13" x14ac:dyDescent="0.25">
      <c r="A169" s="38" t="s">
        <v>796</v>
      </c>
      <c r="B169" s="38">
        <v>56.36</v>
      </c>
      <c r="C169" s="38" t="s">
        <v>182</v>
      </c>
      <c r="D169" s="38">
        <v>705.24361961379714</v>
      </c>
      <c r="E169" s="38">
        <v>647.45997554228211</v>
      </c>
      <c r="F169" s="38">
        <v>169</v>
      </c>
      <c r="G169" s="38">
        <v>12</v>
      </c>
      <c r="H169" s="38">
        <v>80</v>
      </c>
      <c r="I169" s="38"/>
      <c r="J169" s="38"/>
      <c r="K169" s="38"/>
      <c r="L169" s="38"/>
      <c r="M169" s="38"/>
    </row>
    <row r="170" spans="1:13" x14ac:dyDescent="0.25">
      <c r="A170" t="s">
        <v>797</v>
      </c>
      <c r="B170">
        <v>57</v>
      </c>
      <c r="C170" t="s">
        <v>183</v>
      </c>
      <c r="D170">
        <v>712.88075945895287</v>
      </c>
      <c r="E170">
        <v>655.09711538743784</v>
      </c>
      <c r="F170">
        <v>170</v>
      </c>
      <c r="G170">
        <v>13</v>
      </c>
      <c r="H170">
        <v>81</v>
      </c>
    </row>
    <row r="171" spans="1:13" x14ac:dyDescent="0.25">
      <c r="A171" s="38" t="s">
        <v>798</v>
      </c>
      <c r="B171" s="38">
        <v>57.05</v>
      </c>
      <c r="C171" s="38" t="s">
        <v>184</v>
      </c>
      <c r="D171" s="38">
        <v>713.9099148589529</v>
      </c>
      <c r="E171" s="38">
        <v>655.40586201970632</v>
      </c>
      <c r="F171" s="38">
        <v>171</v>
      </c>
      <c r="G171" s="38">
        <v>13</v>
      </c>
      <c r="H171" s="38">
        <v>81</v>
      </c>
      <c r="I171" s="38"/>
      <c r="J171" s="38"/>
      <c r="K171" s="38"/>
      <c r="L171" s="38"/>
      <c r="M171" s="38"/>
    </row>
    <row r="172" spans="1:13" x14ac:dyDescent="0.25">
      <c r="A172" t="s">
        <v>799</v>
      </c>
      <c r="B172">
        <v>57.69</v>
      </c>
      <c r="C172" t="s">
        <v>185</v>
      </c>
      <c r="D172">
        <v>721.54705470410863</v>
      </c>
      <c r="E172">
        <v>663.04300186486205</v>
      </c>
      <c r="F172">
        <v>172</v>
      </c>
      <c r="G172">
        <v>14</v>
      </c>
      <c r="H172">
        <v>82</v>
      </c>
    </row>
    <row r="173" spans="1:13" x14ac:dyDescent="0.25">
      <c r="A173" s="38" t="s">
        <v>800</v>
      </c>
      <c r="B173" s="38">
        <v>57.75</v>
      </c>
      <c r="C173" s="38" t="s">
        <v>186</v>
      </c>
      <c r="D173" s="38">
        <v>722.57621010410867</v>
      </c>
      <c r="E173" s="38">
        <v>663.35174849713053</v>
      </c>
      <c r="F173" s="38">
        <v>173</v>
      </c>
      <c r="G173" s="38">
        <v>14</v>
      </c>
      <c r="H173" s="38">
        <v>82</v>
      </c>
      <c r="I173" s="38"/>
      <c r="J173" s="38"/>
      <c r="K173" s="38"/>
      <c r="L173" s="38"/>
      <c r="M173" s="38"/>
    </row>
    <row r="174" spans="1:13" x14ac:dyDescent="0.25">
      <c r="A174" t="s">
        <v>801</v>
      </c>
      <c r="B174">
        <v>58.38</v>
      </c>
      <c r="C174" t="s">
        <v>187</v>
      </c>
      <c r="D174">
        <v>730.2133499492644</v>
      </c>
      <c r="E174">
        <v>670.98888834228626</v>
      </c>
      <c r="F174">
        <v>174</v>
      </c>
      <c r="G174">
        <v>15</v>
      </c>
      <c r="H174">
        <v>83</v>
      </c>
    </row>
    <row r="175" spans="1:13" x14ac:dyDescent="0.25">
      <c r="A175" s="38" t="s">
        <v>802</v>
      </c>
      <c r="B175" s="38">
        <v>58.44</v>
      </c>
      <c r="C175" s="38" t="s">
        <v>188</v>
      </c>
      <c r="D175" s="38">
        <v>731.24250534926443</v>
      </c>
      <c r="E175" s="38">
        <v>671.29763497455474</v>
      </c>
      <c r="F175" s="38">
        <v>175</v>
      </c>
      <c r="G175" s="38">
        <v>15</v>
      </c>
      <c r="H175" s="38">
        <v>83</v>
      </c>
      <c r="I175" s="38"/>
      <c r="J175" s="38"/>
      <c r="K175" s="38"/>
      <c r="L175" s="38"/>
      <c r="M175" s="38"/>
    </row>
    <row r="176" spans="1:13" x14ac:dyDescent="0.25">
      <c r="A176" t="s">
        <v>803</v>
      </c>
      <c r="B176">
        <v>59.08</v>
      </c>
      <c r="C176" t="s">
        <v>189</v>
      </c>
      <c r="D176">
        <v>738.87964519442016</v>
      </c>
      <c r="E176">
        <v>678.93477481971047</v>
      </c>
      <c r="F176">
        <v>176</v>
      </c>
      <c r="G176">
        <v>16</v>
      </c>
      <c r="H176">
        <v>84</v>
      </c>
    </row>
    <row r="177" spans="1:13" x14ac:dyDescent="0.25">
      <c r="A177" s="38" t="s">
        <v>804</v>
      </c>
      <c r="B177" s="38">
        <v>59.13</v>
      </c>
      <c r="C177" s="38" t="s">
        <v>190</v>
      </c>
      <c r="D177" s="38">
        <v>739.9088005944202</v>
      </c>
      <c r="E177" s="38">
        <v>679.24352145197895</v>
      </c>
      <c r="F177" s="38">
        <v>177</v>
      </c>
      <c r="G177" s="38">
        <v>16</v>
      </c>
      <c r="H177" s="38">
        <v>84</v>
      </c>
      <c r="I177" s="38"/>
      <c r="J177" s="38"/>
      <c r="K177" s="38"/>
      <c r="L177" s="38"/>
      <c r="M177" s="38"/>
    </row>
    <row r="178" spans="1:13" x14ac:dyDescent="0.25">
      <c r="A178" t="s">
        <v>805</v>
      </c>
      <c r="B178">
        <v>59.77</v>
      </c>
      <c r="C178" t="s">
        <v>191</v>
      </c>
      <c r="D178">
        <v>747.54594043957593</v>
      </c>
      <c r="E178">
        <v>686.88066129713468</v>
      </c>
      <c r="F178">
        <v>178</v>
      </c>
      <c r="G178">
        <v>17</v>
      </c>
      <c r="H178">
        <v>85</v>
      </c>
    </row>
    <row r="179" spans="1:13" x14ac:dyDescent="0.25">
      <c r="A179" s="39" t="s">
        <v>806</v>
      </c>
      <c r="B179" s="39">
        <v>60.07</v>
      </c>
      <c r="C179" s="39" t="s">
        <v>192</v>
      </c>
      <c r="D179" s="39">
        <v>751.57509583957597</v>
      </c>
      <c r="E179" s="39">
        <v>690.18940792940316</v>
      </c>
      <c r="F179" s="39">
        <v>179</v>
      </c>
      <c r="G179" s="39">
        <v>17</v>
      </c>
      <c r="H179" s="39">
        <v>85</v>
      </c>
      <c r="I179" s="39"/>
      <c r="J179" s="39"/>
      <c r="K179" s="39"/>
      <c r="L179" s="39"/>
      <c r="M179" s="39"/>
    </row>
    <row r="180" spans="1:13" x14ac:dyDescent="0.25">
      <c r="A180" t="s">
        <v>807</v>
      </c>
      <c r="B180">
        <v>60.71</v>
      </c>
      <c r="C180" t="s">
        <v>193</v>
      </c>
      <c r="D180">
        <v>759.2122356847317</v>
      </c>
      <c r="E180">
        <v>697.82654777455889</v>
      </c>
      <c r="F180">
        <v>180</v>
      </c>
      <c r="G180">
        <v>1</v>
      </c>
      <c r="H180">
        <v>86</v>
      </c>
    </row>
    <row r="181" spans="1:13" x14ac:dyDescent="0.25">
      <c r="A181" s="38" t="s">
        <v>808</v>
      </c>
      <c r="B181" s="38">
        <v>60.77</v>
      </c>
      <c r="C181" s="38" t="s">
        <v>194</v>
      </c>
      <c r="D181" s="38">
        <v>760.24139108473173</v>
      </c>
      <c r="E181" s="38">
        <v>698.13529440682737</v>
      </c>
      <c r="F181" s="38">
        <v>181</v>
      </c>
      <c r="G181" s="38">
        <v>1</v>
      </c>
      <c r="H181" s="38">
        <v>86</v>
      </c>
      <c r="I181" s="38"/>
      <c r="J181" s="38"/>
      <c r="K181" s="38"/>
      <c r="L181" s="38"/>
      <c r="M181" s="38"/>
    </row>
    <row r="182" spans="1:13" x14ac:dyDescent="0.25">
      <c r="A182" t="s">
        <v>809</v>
      </c>
      <c r="B182">
        <v>61.4</v>
      </c>
      <c r="C182" t="s">
        <v>195</v>
      </c>
      <c r="D182">
        <v>767.87853092988746</v>
      </c>
      <c r="E182">
        <v>705.7724342519831</v>
      </c>
      <c r="F182">
        <v>182</v>
      </c>
      <c r="G182">
        <v>2</v>
      </c>
      <c r="H182">
        <v>87</v>
      </c>
    </row>
    <row r="183" spans="1:13" x14ac:dyDescent="0.25">
      <c r="A183" s="38" t="s">
        <v>810</v>
      </c>
      <c r="B183" s="38">
        <v>61.46</v>
      </c>
      <c r="C183" s="38" t="s">
        <v>196</v>
      </c>
      <c r="D183" s="38">
        <v>768.9076863298875</v>
      </c>
      <c r="E183" s="38">
        <v>706.08118088425158</v>
      </c>
      <c r="F183" s="38">
        <v>183</v>
      </c>
      <c r="G183" s="38">
        <v>2</v>
      </c>
      <c r="H183" s="38">
        <v>87</v>
      </c>
      <c r="I183" s="38"/>
      <c r="J183" s="38"/>
      <c r="K183" s="38"/>
      <c r="L183" s="38"/>
      <c r="M183" s="38"/>
    </row>
    <row r="184" spans="1:13" x14ac:dyDescent="0.25">
      <c r="A184" t="s">
        <v>811</v>
      </c>
      <c r="B184">
        <v>62.09</v>
      </c>
      <c r="C184" t="s">
        <v>197</v>
      </c>
      <c r="D184">
        <v>776.54482617504323</v>
      </c>
      <c r="E184">
        <v>713.71832072940731</v>
      </c>
      <c r="F184">
        <v>184</v>
      </c>
      <c r="G184">
        <v>3</v>
      </c>
      <c r="H184">
        <v>88</v>
      </c>
    </row>
    <row r="185" spans="1:13" x14ac:dyDescent="0.25">
      <c r="A185" s="38" t="s">
        <v>812</v>
      </c>
      <c r="B185" s="38">
        <v>62.15</v>
      </c>
      <c r="C185" s="38" t="s">
        <v>198</v>
      </c>
      <c r="D185" s="38">
        <v>777.57398157504326</v>
      </c>
      <c r="E185" s="38">
        <v>714.02706736167579</v>
      </c>
      <c r="F185" s="38">
        <v>185</v>
      </c>
      <c r="G185" s="38">
        <v>3</v>
      </c>
      <c r="H185" s="38">
        <v>88</v>
      </c>
      <c r="I185" s="38"/>
      <c r="J185" s="38"/>
      <c r="K185" s="38"/>
      <c r="L185" s="38"/>
      <c r="M185" s="38"/>
    </row>
    <row r="186" spans="1:13" x14ac:dyDescent="0.25">
      <c r="A186" t="s">
        <v>813</v>
      </c>
      <c r="B186">
        <v>62.79</v>
      </c>
      <c r="C186" t="s">
        <v>199</v>
      </c>
      <c r="D186">
        <v>785.21112142019899</v>
      </c>
      <c r="E186">
        <v>721.66420720683152</v>
      </c>
      <c r="F186">
        <v>186</v>
      </c>
      <c r="G186">
        <v>4</v>
      </c>
      <c r="H186">
        <v>89</v>
      </c>
    </row>
    <row r="187" spans="1:13" x14ac:dyDescent="0.25">
      <c r="A187" s="38" t="s">
        <v>814</v>
      </c>
      <c r="B187" s="38">
        <v>62.84</v>
      </c>
      <c r="C187" s="38" t="s">
        <v>200</v>
      </c>
      <c r="D187" s="38">
        <v>786.24027682019903</v>
      </c>
      <c r="E187" s="38">
        <v>721.9729538391</v>
      </c>
      <c r="F187" s="38">
        <v>187</v>
      </c>
      <c r="G187" s="38">
        <v>4</v>
      </c>
      <c r="H187" s="38">
        <v>89</v>
      </c>
      <c r="I187" s="38"/>
      <c r="J187" s="38"/>
      <c r="K187" s="38"/>
      <c r="L187" s="38"/>
      <c r="M187" s="38"/>
    </row>
    <row r="188" spans="1:13" x14ac:dyDescent="0.25">
      <c r="A188" t="s">
        <v>815</v>
      </c>
      <c r="B188">
        <v>63.48</v>
      </c>
      <c r="C188" t="s">
        <v>201</v>
      </c>
      <c r="D188">
        <v>793.87741666535476</v>
      </c>
      <c r="E188">
        <v>729.61009368425573</v>
      </c>
      <c r="F188">
        <v>188</v>
      </c>
      <c r="G188">
        <v>5</v>
      </c>
      <c r="H188">
        <v>90</v>
      </c>
    </row>
    <row r="189" spans="1:13" x14ac:dyDescent="0.25">
      <c r="A189" s="38" t="s">
        <v>816</v>
      </c>
      <c r="B189" s="38">
        <v>63.53</v>
      </c>
      <c r="C189" s="38" t="s">
        <v>202</v>
      </c>
      <c r="D189" s="38">
        <v>794.90657206535479</v>
      </c>
      <c r="E189" s="38">
        <v>729.91884031652421</v>
      </c>
      <c r="F189" s="38">
        <v>189</v>
      </c>
      <c r="G189" s="38">
        <v>5</v>
      </c>
      <c r="H189" s="38">
        <v>90</v>
      </c>
      <c r="I189" s="38"/>
      <c r="J189" s="38"/>
      <c r="K189" s="38"/>
      <c r="L189" s="38"/>
      <c r="M189" s="38"/>
    </row>
    <row r="190" spans="1:13" x14ac:dyDescent="0.25">
      <c r="A190" t="s">
        <v>817</v>
      </c>
      <c r="B190">
        <v>64.17</v>
      </c>
      <c r="C190" t="s">
        <v>203</v>
      </c>
      <c r="D190">
        <v>802.54371191051052</v>
      </c>
      <c r="E190">
        <v>737.55598016167994</v>
      </c>
      <c r="F190">
        <v>190</v>
      </c>
      <c r="G190">
        <v>6</v>
      </c>
      <c r="H190">
        <v>91</v>
      </c>
    </row>
    <row r="191" spans="1:13" x14ac:dyDescent="0.25">
      <c r="A191" s="38" t="s">
        <v>818</v>
      </c>
      <c r="B191" s="38">
        <v>64.23</v>
      </c>
      <c r="C191" s="38" t="s">
        <v>204</v>
      </c>
      <c r="D191" s="38">
        <v>803.57286731051056</v>
      </c>
      <c r="E191" s="38">
        <v>737.86472679394842</v>
      </c>
      <c r="F191" s="38">
        <v>191</v>
      </c>
      <c r="G191" s="38">
        <v>6</v>
      </c>
      <c r="H191" s="38">
        <v>91</v>
      </c>
      <c r="I191" s="38"/>
      <c r="J191" s="38"/>
      <c r="K191" s="38"/>
      <c r="L191" s="38"/>
      <c r="M191" s="38"/>
    </row>
    <row r="192" spans="1:13" x14ac:dyDescent="0.25">
      <c r="A192" t="s">
        <v>819</v>
      </c>
      <c r="B192">
        <v>64.86</v>
      </c>
      <c r="C192" t="s">
        <v>205</v>
      </c>
      <c r="D192">
        <v>811.21000715566629</v>
      </c>
      <c r="E192">
        <v>745.50186663910415</v>
      </c>
      <c r="F192">
        <v>192</v>
      </c>
      <c r="G192">
        <v>7</v>
      </c>
      <c r="H192">
        <v>92</v>
      </c>
    </row>
    <row r="193" spans="1:13" x14ac:dyDescent="0.25">
      <c r="A193" s="38" t="s">
        <v>820</v>
      </c>
      <c r="B193" s="38">
        <v>64.92</v>
      </c>
      <c r="C193" s="38" t="s">
        <v>206</v>
      </c>
      <c r="D193" s="38">
        <v>812.23916255566633</v>
      </c>
      <c r="E193" s="38">
        <v>745.81061327137263</v>
      </c>
      <c r="F193" s="38">
        <v>193</v>
      </c>
      <c r="G193" s="38">
        <v>7</v>
      </c>
      <c r="H193" s="38">
        <v>92</v>
      </c>
      <c r="I193" s="38"/>
      <c r="J193" s="38"/>
      <c r="K193" s="38"/>
      <c r="L193" s="38"/>
      <c r="M193" s="38"/>
    </row>
    <row r="194" spans="1:13" x14ac:dyDescent="0.25">
      <c r="A194" t="s">
        <v>821</v>
      </c>
      <c r="B194">
        <v>65.56</v>
      </c>
      <c r="C194" t="s">
        <v>207</v>
      </c>
      <c r="D194">
        <v>819.87630240082206</v>
      </c>
      <c r="E194">
        <v>753.44775311652836</v>
      </c>
      <c r="F194">
        <v>194</v>
      </c>
      <c r="G194">
        <v>8</v>
      </c>
      <c r="H194">
        <v>93</v>
      </c>
    </row>
    <row r="195" spans="1:13" x14ac:dyDescent="0.25">
      <c r="A195" s="38" t="s">
        <v>822</v>
      </c>
      <c r="B195" s="38">
        <v>65.61</v>
      </c>
      <c r="C195" s="38" t="s">
        <v>208</v>
      </c>
      <c r="D195" s="38">
        <v>820.90545780082209</v>
      </c>
      <c r="E195" s="38">
        <v>753.75649974879684</v>
      </c>
      <c r="F195" s="38">
        <v>195</v>
      </c>
      <c r="G195" s="38">
        <v>8</v>
      </c>
      <c r="H195" s="38">
        <v>93</v>
      </c>
      <c r="I195" s="38"/>
      <c r="J195" s="38"/>
      <c r="K195" s="38"/>
      <c r="L195" s="38"/>
      <c r="M195" s="38"/>
    </row>
    <row r="196" spans="1:13" x14ac:dyDescent="0.25">
      <c r="A196" t="s">
        <v>823</v>
      </c>
      <c r="B196">
        <v>66.25</v>
      </c>
      <c r="C196" t="s">
        <v>209</v>
      </c>
      <c r="D196">
        <v>828.54259764597782</v>
      </c>
      <c r="E196">
        <v>761.39363959395257</v>
      </c>
      <c r="F196">
        <v>196</v>
      </c>
      <c r="G196">
        <v>9</v>
      </c>
      <c r="H196">
        <v>94</v>
      </c>
    </row>
    <row r="197" spans="1:13" x14ac:dyDescent="0.25">
      <c r="A197" s="38" t="s">
        <v>824</v>
      </c>
      <c r="B197" s="38">
        <v>66.3</v>
      </c>
      <c r="C197" s="38" t="s">
        <v>210</v>
      </c>
      <c r="D197" s="38">
        <v>829.57175304597786</v>
      </c>
      <c r="E197" s="38">
        <v>761.70238622622105</v>
      </c>
      <c r="F197" s="38">
        <v>197</v>
      </c>
      <c r="G197" s="38">
        <v>9</v>
      </c>
      <c r="H197" s="38">
        <v>94</v>
      </c>
      <c r="I197" s="38"/>
      <c r="J197" s="38"/>
      <c r="K197" s="38"/>
      <c r="L197" s="38"/>
      <c r="M197" s="38"/>
    </row>
    <row r="198" spans="1:13" x14ac:dyDescent="0.25">
      <c r="A198" t="s">
        <v>825</v>
      </c>
      <c r="B198">
        <v>66.94</v>
      </c>
      <c r="C198" t="s">
        <v>211</v>
      </c>
      <c r="D198">
        <v>837.20889289113359</v>
      </c>
      <c r="E198">
        <v>769.33952607137678</v>
      </c>
      <c r="F198">
        <v>198</v>
      </c>
      <c r="G198">
        <v>10</v>
      </c>
      <c r="H198">
        <v>95</v>
      </c>
    </row>
    <row r="199" spans="1:13" x14ac:dyDescent="0.25">
      <c r="A199" s="38" t="s">
        <v>826</v>
      </c>
      <c r="B199" s="38">
        <v>67</v>
      </c>
      <c r="C199" s="38" t="s">
        <v>212</v>
      </c>
      <c r="D199" s="38">
        <v>838.23804829113362</v>
      </c>
      <c r="E199" s="38">
        <v>769.64827270364526</v>
      </c>
      <c r="F199" s="38">
        <v>199</v>
      </c>
      <c r="G199" s="38">
        <v>10</v>
      </c>
      <c r="H199" s="38">
        <v>95</v>
      </c>
      <c r="I199" s="38"/>
      <c r="J199" s="38"/>
      <c r="K199" s="38"/>
      <c r="L199" s="38"/>
      <c r="M199" s="38"/>
    </row>
    <row r="200" spans="1:13" x14ac:dyDescent="0.25">
      <c r="A200" t="s">
        <v>827</v>
      </c>
      <c r="B200">
        <v>67.63</v>
      </c>
      <c r="C200" t="s">
        <v>213</v>
      </c>
      <c r="D200">
        <v>845.87518813628935</v>
      </c>
      <c r="E200">
        <v>777.28541254880099</v>
      </c>
      <c r="F200">
        <v>200</v>
      </c>
      <c r="G200">
        <v>11</v>
      </c>
      <c r="H200">
        <v>96</v>
      </c>
    </row>
    <row r="201" spans="1:13" x14ac:dyDescent="0.25">
      <c r="A201" s="38" t="s">
        <v>828</v>
      </c>
      <c r="B201" s="38">
        <v>67.69</v>
      </c>
      <c r="C201" s="38" t="s">
        <v>214</v>
      </c>
      <c r="D201" s="38">
        <v>846.90434353628939</v>
      </c>
      <c r="E201" s="38">
        <v>777.59415918106947</v>
      </c>
      <c r="F201" s="38">
        <v>201</v>
      </c>
      <c r="G201" s="38">
        <v>11</v>
      </c>
      <c r="H201" s="38">
        <v>96</v>
      </c>
      <c r="I201" s="38"/>
      <c r="J201" s="38"/>
      <c r="K201" s="38"/>
      <c r="L201" s="38"/>
      <c r="M201" s="38"/>
    </row>
    <row r="202" spans="1:13" x14ac:dyDescent="0.25">
      <c r="A202" t="s">
        <v>829</v>
      </c>
      <c r="B202">
        <v>68.319999999999993</v>
      </c>
      <c r="C202" t="s">
        <v>215</v>
      </c>
      <c r="D202">
        <v>854.54148338144512</v>
      </c>
      <c r="E202">
        <v>785.2312990262252</v>
      </c>
      <c r="F202">
        <v>202</v>
      </c>
      <c r="G202">
        <v>12</v>
      </c>
      <c r="H202">
        <v>97</v>
      </c>
    </row>
    <row r="203" spans="1:13" x14ac:dyDescent="0.25">
      <c r="A203" s="38" t="s">
        <v>830</v>
      </c>
      <c r="B203" s="38">
        <v>68.38</v>
      </c>
      <c r="C203" s="38" t="s">
        <v>216</v>
      </c>
      <c r="D203" s="38">
        <v>855.57063878144515</v>
      </c>
      <c r="E203" s="38">
        <v>785.54004565849368</v>
      </c>
      <c r="F203" s="38">
        <v>203</v>
      </c>
      <c r="G203" s="38">
        <v>12</v>
      </c>
      <c r="H203" s="38">
        <v>97</v>
      </c>
      <c r="I203" s="38"/>
      <c r="J203" s="38"/>
      <c r="K203" s="38"/>
      <c r="L203" s="38"/>
      <c r="M203" s="38"/>
    </row>
    <row r="204" spans="1:13" x14ac:dyDescent="0.25">
      <c r="A204" t="s">
        <v>831</v>
      </c>
      <c r="B204">
        <v>69.02</v>
      </c>
      <c r="C204" t="s">
        <v>217</v>
      </c>
      <c r="D204">
        <v>863.20777862660088</v>
      </c>
      <c r="E204">
        <v>793.17718550364941</v>
      </c>
      <c r="F204">
        <v>204</v>
      </c>
      <c r="G204">
        <v>13</v>
      </c>
      <c r="H204">
        <v>98</v>
      </c>
    </row>
    <row r="205" spans="1:13" x14ac:dyDescent="0.25">
      <c r="A205" s="38" t="s">
        <v>832</v>
      </c>
      <c r="B205" s="38">
        <v>69.069999999999993</v>
      </c>
      <c r="C205" s="38" t="s">
        <v>218</v>
      </c>
      <c r="D205" s="38">
        <v>864.23693402660092</v>
      </c>
      <c r="E205" s="38">
        <v>793.48593213591789</v>
      </c>
      <c r="F205" s="38">
        <v>205</v>
      </c>
      <c r="G205" s="38">
        <v>13</v>
      </c>
      <c r="H205" s="38">
        <v>98</v>
      </c>
      <c r="I205" s="38"/>
      <c r="J205" s="38"/>
      <c r="K205" s="38"/>
      <c r="L205" s="38"/>
      <c r="M205" s="38"/>
    </row>
    <row r="206" spans="1:13" x14ac:dyDescent="0.25">
      <c r="A206" t="s">
        <v>833</v>
      </c>
      <c r="B206">
        <v>69.709999999999994</v>
      </c>
      <c r="C206" t="s">
        <v>219</v>
      </c>
      <c r="D206">
        <v>871.87407387175665</v>
      </c>
      <c r="E206">
        <v>801.12307198107362</v>
      </c>
      <c r="F206">
        <v>206</v>
      </c>
      <c r="G206">
        <v>14</v>
      </c>
      <c r="H206">
        <v>99</v>
      </c>
    </row>
    <row r="207" spans="1:13" x14ac:dyDescent="0.25">
      <c r="A207" s="38" t="s">
        <v>834</v>
      </c>
      <c r="B207" s="38">
        <v>69.760000000000005</v>
      </c>
      <c r="C207" s="38" t="s">
        <v>220</v>
      </c>
      <c r="D207" s="38">
        <v>872.90322927175669</v>
      </c>
      <c r="E207" s="38">
        <v>801.4318186133421</v>
      </c>
      <c r="F207" s="38">
        <v>207</v>
      </c>
      <c r="G207" s="38">
        <v>14</v>
      </c>
      <c r="H207" s="38">
        <v>99</v>
      </c>
      <c r="I207" s="38"/>
      <c r="J207" s="38"/>
      <c r="K207" s="38"/>
      <c r="L207" s="38"/>
      <c r="M207" s="38"/>
    </row>
    <row r="208" spans="1:13" x14ac:dyDescent="0.25">
      <c r="A208" t="s">
        <v>835</v>
      </c>
      <c r="B208">
        <v>70.400000000000006</v>
      </c>
      <c r="C208" t="s">
        <v>221</v>
      </c>
      <c r="D208">
        <v>880.54036911691242</v>
      </c>
      <c r="E208">
        <v>809.06895845849783</v>
      </c>
      <c r="F208">
        <v>208</v>
      </c>
      <c r="G208">
        <v>15</v>
      </c>
      <c r="H208">
        <v>100</v>
      </c>
    </row>
    <row r="209" spans="1:13" x14ac:dyDescent="0.25">
      <c r="A209" s="38" t="s">
        <v>836</v>
      </c>
      <c r="B209" s="38">
        <v>70.459999999999994</v>
      </c>
      <c r="C209" s="38" t="s">
        <v>222</v>
      </c>
      <c r="D209" s="38">
        <v>881.56952451691245</v>
      </c>
      <c r="E209" s="38">
        <v>809.37770509076631</v>
      </c>
      <c r="F209" s="38">
        <v>209</v>
      </c>
      <c r="G209" s="38">
        <v>15</v>
      </c>
      <c r="H209" s="38">
        <v>100</v>
      </c>
      <c r="I209" s="38"/>
      <c r="J209" s="38"/>
      <c r="K209" s="38"/>
      <c r="L209" s="38"/>
      <c r="M209" s="38"/>
    </row>
    <row r="210" spans="1:13" x14ac:dyDescent="0.25">
      <c r="A210" t="s">
        <v>837</v>
      </c>
      <c r="B210">
        <v>71.09</v>
      </c>
      <c r="C210" t="s">
        <v>223</v>
      </c>
      <c r="D210">
        <v>889.20666436206818</v>
      </c>
      <c r="E210">
        <v>817.01484493592204</v>
      </c>
      <c r="F210">
        <v>210</v>
      </c>
      <c r="G210">
        <v>16</v>
      </c>
      <c r="H210">
        <v>101</v>
      </c>
    </row>
    <row r="211" spans="1:13" x14ac:dyDescent="0.25">
      <c r="A211" s="38" t="s">
        <v>838</v>
      </c>
      <c r="B211" s="38">
        <v>71.150000000000006</v>
      </c>
      <c r="C211" s="38" t="s">
        <v>224</v>
      </c>
      <c r="D211" s="38">
        <v>890.23581976206822</v>
      </c>
      <c r="E211" s="38">
        <v>817.32359156819052</v>
      </c>
      <c r="F211" s="38">
        <v>211</v>
      </c>
      <c r="G211" s="38">
        <v>16</v>
      </c>
      <c r="H211" s="38">
        <v>101</v>
      </c>
      <c r="I211" s="38"/>
      <c r="J211" s="38"/>
      <c r="K211" s="38"/>
      <c r="L211" s="38"/>
      <c r="M211" s="38"/>
    </row>
    <row r="212" spans="1:13" x14ac:dyDescent="0.25">
      <c r="A212" t="s">
        <v>839</v>
      </c>
      <c r="B212">
        <v>71.78</v>
      </c>
      <c r="C212" t="s">
        <v>225</v>
      </c>
      <c r="D212">
        <v>897.87295960722395</v>
      </c>
      <c r="E212">
        <v>824.96073141334625</v>
      </c>
      <c r="F212">
        <v>212</v>
      </c>
      <c r="G212">
        <v>17</v>
      </c>
      <c r="H212">
        <v>102</v>
      </c>
    </row>
    <row r="213" spans="1:13" x14ac:dyDescent="0.25">
      <c r="A213" s="39" t="s">
        <v>840</v>
      </c>
      <c r="B213" s="39">
        <v>72.09</v>
      </c>
      <c r="C213" s="39" t="s">
        <v>226</v>
      </c>
      <c r="D213" s="39">
        <v>901.90211500722398</v>
      </c>
      <c r="E213" s="39">
        <v>828.26947804561473</v>
      </c>
      <c r="F213" s="39">
        <v>213</v>
      </c>
      <c r="G213" s="39">
        <v>17</v>
      </c>
      <c r="H213" s="39">
        <v>102</v>
      </c>
      <c r="I213" s="39"/>
      <c r="J213" s="39"/>
      <c r="K213" s="39"/>
      <c r="L213" s="39"/>
      <c r="M213" s="39"/>
    </row>
    <row r="214" spans="1:13" x14ac:dyDescent="0.25">
      <c r="A214" t="s">
        <v>841</v>
      </c>
      <c r="B214">
        <v>72.73</v>
      </c>
      <c r="C214" t="s">
        <v>227</v>
      </c>
      <c r="D214">
        <v>909.53925485237971</v>
      </c>
      <c r="E214">
        <v>835.90661789077046</v>
      </c>
      <c r="F214">
        <v>214</v>
      </c>
      <c r="G214">
        <v>1</v>
      </c>
      <c r="H214">
        <v>103</v>
      </c>
    </row>
    <row r="215" spans="1:13" x14ac:dyDescent="0.25">
      <c r="A215" s="38" t="s">
        <v>842</v>
      </c>
      <c r="B215" s="38">
        <v>72.78</v>
      </c>
      <c r="C215" s="38" t="s">
        <v>228</v>
      </c>
      <c r="D215" s="38">
        <v>910.56841025237975</v>
      </c>
      <c r="E215" s="38">
        <v>836.21536452303894</v>
      </c>
      <c r="F215" s="38">
        <v>215</v>
      </c>
      <c r="G215" s="38">
        <v>1</v>
      </c>
      <c r="H215" s="38">
        <v>103</v>
      </c>
      <c r="I215" s="38"/>
      <c r="J215" s="38"/>
      <c r="K215" s="38"/>
      <c r="L215" s="38"/>
      <c r="M215" s="38"/>
    </row>
    <row r="216" spans="1:13" x14ac:dyDescent="0.25">
      <c r="A216" t="s">
        <v>843</v>
      </c>
      <c r="B216">
        <v>73.42</v>
      </c>
      <c r="C216" t="s">
        <v>229</v>
      </c>
      <c r="D216">
        <v>918.20555009753548</v>
      </c>
      <c r="E216">
        <v>843.85250436819467</v>
      </c>
      <c r="F216">
        <v>216</v>
      </c>
      <c r="G216">
        <v>2</v>
      </c>
      <c r="H216">
        <v>104</v>
      </c>
    </row>
    <row r="217" spans="1:13" x14ac:dyDescent="0.25">
      <c r="A217" s="38" t="s">
        <v>844</v>
      </c>
      <c r="B217" s="38">
        <v>73.47</v>
      </c>
      <c r="C217" s="38" t="s">
        <v>230</v>
      </c>
      <c r="D217" s="38">
        <v>919.23470549753551</v>
      </c>
      <c r="E217" s="38">
        <v>844.16125100046315</v>
      </c>
      <c r="F217" s="38">
        <v>217</v>
      </c>
      <c r="G217" s="38">
        <v>2</v>
      </c>
      <c r="H217" s="38">
        <v>104</v>
      </c>
      <c r="I217" s="38"/>
      <c r="J217" s="38"/>
      <c r="K217" s="38"/>
      <c r="L217" s="38"/>
      <c r="M217" s="38"/>
    </row>
    <row r="218" spans="1:13" x14ac:dyDescent="0.25">
      <c r="A218" t="s">
        <v>845</v>
      </c>
      <c r="B218">
        <v>74.11</v>
      </c>
      <c r="C218" t="s">
        <v>231</v>
      </c>
      <c r="D218">
        <v>926.87184534269124</v>
      </c>
      <c r="E218">
        <v>851.79839084561888</v>
      </c>
      <c r="F218">
        <v>218</v>
      </c>
      <c r="G218">
        <v>3</v>
      </c>
      <c r="H218">
        <v>105</v>
      </c>
    </row>
    <row r="219" spans="1:13" x14ac:dyDescent="0.25">
      <c r="A219" s="38" t="s">
        <v>846</v>
      </c>
      <c r="B219" s="38">
        <v>74.17</v>
      </c>
      <c r="C219" s="38" t="s">
        <v>232</v>
      </c>
      <c r="D219" s="38">
        <v>927.90100074269128</v>
      </c>
      <c r="E219" s="38">
        <v>852.10713747788736</v>
      </c>
      <c r="F219" s="38">
        <v>219</v>
      </c>
      <c r="G219" s="38">
        <v>3</v>
      </c>
      <c r="H219" s="38">
        <v>105</v>
      </c>
      <c r="I219" s="38"/>
      <c r="J219" s="38"/>
      <c r="K219" s="38"/>
      <c r="L219" s="38"/>
      <c r="M219" s="38"/>
    </row>
    <row r="220" spans="1:13" x14ac:dyDescent="0.25">
      <c r="A220" t="s">
        <v>847</v>
      </c>
      <c r="B220">
        <v>74.8</v>
      </c>
      <c r="C220" t="s">
        <v>233</v>
      </c>
      <c r="D220">
        <v>935.53814058784701</v>
      </c>
      <c r="E220">
        <v>859.74427732304309</v>
      </c>
      <c r="F220">
        <v>220</v>
      </c>
      <c r="G220">
        <v>4</v>
      </c>
      <c r="H220">
        <v>106</v>
      </c>
    </row>
    <row r="221" spans="1:13" x14ac:dyDescent="0.25">
      <c r="A221" s="38" t="s">
        <v>848</v>
      </c>
      <c r="B221" s="38">
        <v>74.86</v>
      </c>
      <c r="C221" s="38" t="s">
        <v>234</v>
      </c>
      <c r="D221" s="38">
        <v>936.56729598784705</v>
      </c>
      <c r="E221" s="38">
        <v>860.05302395531157</v>
      </c>
      <c r="F221" s="38">
        <v>221</v>
      </c>
      <c r="G221" s="38">
        <v>4</v>
      </c>
      <c r="H221" s="38">
        <v>106</v>
      </c>
      <c r="I221" s="38"/>
      <c r="J221" s="38"/>
      <c r="K221" s="38"/>
      <c r="L221" s="38"/>
      <c r="M221" s="38"/>
    </row>
    <row r="222" spans="1:13" x14ac:dyDescent="0.25">
      <c r="A222" t="s">
        <v>849</v>
      </c>
      <c r="B222">
        <v>75.5</v>
      </c>
      <c r="C222" t="s">
        <v>235</v>
      </c>
      <c r="D222">
        <v>944.20443583300278</v>
      </c>
      <c r="E222">
        <v>867.6901638004673</v>
      </c>
      <c r="F222">
        <v>222</v>
      </c>
      <c r="G222">
        <v>5</v>
      </c>
      <c r="H222">
        <v>107</v>
      </c>
    </row>
    <row r="223" spans="1:13" x14ac:dyDescent="0.25">
      <c r="A223" s="38" t="s">
        <v>850</v>
      </c>
      <c r="B223" s="38">
        <v>75.55</v>
      </c>
      <c r="C223" s="38" t="s">
        <v>236</v>
      </c>
      <c r="D223" s="38">
        <v>945.23359123300281</v>
      </c>
      <c r="E223" s="38">
        <v>867.99891043273578</v>
      </c>
      <c r="F223" s="38">
        <v>223</v>
      </c>
      <c r="G223" s="38">
        <v>5</v>
      </c>
      <c r="H223" s="38">
        <v>107</v>
      </c>
      <c r="I223" s="38"/>
      <c r="J223" s="38"/>
      <c r="K223" s="38"/>
      <c r="L223" s="38"/>
      <c r="M223" s="38"/>
    </row>
    <row r="224" spans="1:13" x14ac:dyDescent="0.25">
      <c r="A224" t="s">
        <v>851</v>
      </c>
      <c r="B224">
        <v>76.19</v>
      </c>
      <c r="C224" t="s">
        <v>237</v>
      </c>
      <c r="D224">
        <v>952.87073107815854</v>
      </c>
      <c r="E224">
        <v>875.63605027789151</v>
      </c>
      <c r="F224">
        <v>224</v>
      </c>
      <c r="G224">
        <v>6</v>
      </c>
      <c r="H224">
        <v>108</v>
      </c>
    </row>
    <row r="225" spans="1:13" x14ac:dyDescent="0.25">
      <c r="A225" s="38" t="s">
        <v>852</v>
      </c>
      <c r="B225" s="38">
        <v>76.239999999999995</v>
      </c>
      <c r="C225" s="38" t="s">
        <v>238</v>
      </c>
      <c r="D225" s="38">
        <v>953.89988647815858</v>
      </c>
      <c r="E225" s="38">
        <v>875.94479691015999</v>
      </c>
      <c r="F225" s="38">
        <v>225</v>
      </c>
      <c r="G225" s="38">
        <v>6</v>
      </c>
      <c r="H225" s="38">
        <v>108</v>
      </c>
      <c r="I225" s="38"/>
      <c r="J225" s="38"/>
      <c r="K225" s="38"/>
      <c r="L225" s="38"/>
      <c r="M225" s="38"/>
    </row>
    <row r="226" spans="1:13" x14ac:dyDescent="0.25">
      <c r="A226" t="s">
        <v>853</v>
      </c>
      <c r="B226">
        <v>76.88</v>
      </c>
      <c r="C226" t="s">
        <v>239</v>
      </c>
      <c r="D226">
        <v>961.53702632331431</v>
      </c>
      <c r="E226">
        <v>883.58193675531572</v>
      </c>
      <c r="F226">
        <v>226</v>
      </c>
      <c r="G226">
        <v>7</v>
      </c>
      <c r="H226">
        <v>109</v>
      </c>
    </row>
    <row r="227" spans="1:13" x14ac:dyDescent="0.25">
      <c r="A227" s="38" t="s">
        <v>854</v>
      </c>
      <c r="B227" s="38">
        <v>76.94</v>
      </c>
      <c r="C227" s="38" t="s">
        <v>240</v>
      </c>
      <c r="D227" s="38">
        <v>962.56618172331434</v>
      </c>
      <c r="E227" s="38">
        <v>883.8906833875842</v>
      </c>
      <c r="F227" s="38">
        <v>227</v>
      </c>
      <c r="G227" s="38">
        <v>7</v>
      </c>
      <c r="H227" s="38">
        <v>109</v>
      </c>
      <c r="I227" s="38"/>
      <c r="J227" s="38"/>
      <c r="K227" s="38"/>
      <c r="L227" s="38"/>
      <c r="M227" s="38"/>
    </row>
    <row r="228" spans="1:13" x14ac:dyDescent="0.25">
      <c r="A228" t="s">
        <v>855</v>
      </c>
      <c r="B228">
        <v>77.569999999999993</v>
      </c>
      <c r="C228" t="s">
        <v>241</v>
      </c>
      <c r="D228">
        <v>970.20332156847007</v>
      </c>
      <c r="E228">
        <v>891.52782323273993</v>
      </c>
      <c r="F228">
        <v>228</v>
      </c>
      <c r="G228">
        <v>8</v>
      </c>
      <c r="H228">
        <v>110</v>
      </c>
    </row>
    <row r="229" spans="1:13" x14ac:dyDescent="0.25">
      <c r="A229" s="38" t="s">
        <v>856</v>
      </c>
      <c r="B229" s="38">
        <v>77.63</v>
      </c>
      <c r="C229" s="38" t="s">
        <v>242</v>
      </c>
      <c r="D229" s="38">
        <v>971.23247696847011</v>
      </c>
      <c r="E229" s="38">
        <v>891.83656986500841</v>
      </c>
      <c r="F229" s="38">
        <v>229</v>
      </c>
      <c r="G229" s="38">
        <v>8</v>
      </c>
      <c r="H229" s="38">
        <v>110</v>
      </c>
      <c r="I229" s="38"/>
      <c r="J229" s="38"/>
      <c r="K229" s="38"/>
      <c r="L229" s="38"/>
      <c r="M229" s="38"/>
    </row>
    <row r="230" spans="1:13" x14ac:dyDescent="0.25">
      <c r="A230" t="s">
        <v>857</v>
      </c>
      <c r="B230">
        <v>78.260000000000005</v>
      </c>
      <c r="C230" t="s">
        <v>243</v>
      </c>
      <c r="D230">
        <v>978.86961681362584</v>
      </c>
      <c r="E230">
        <v>899.47370971016414</v>
      </c>
      <c r="F230">
        <v>230</v>
      </c>
      <c r="G230">
        <v>9</v>
      </c>
      <c r="H230">
        <v>111</v>
      </c>
    </row>
    <row r="231" spans="1:13" x14ac:dyDescent="0.25">
      <c r="A231" s="38" t="s">
        <v>858</v>
      </c>
      <c r="B231" s="38">
        <v>78.319999999999993</v>
      </c>
      <c r="C231" s="38" t="s">
        <v>244</v>
      </c>
      <c r="D231" s="38">
        <v>979.89877221362588</v>
      </c>
      <c r="E231" s="38">
        <v>899.78245634243262</v>
      </c>
      <c r="F231" s="38">
        <v>231</v>
      </c>
      <c r="G231" s="38">
        <v>9</v>
      </c>
      <c r="H231" s="38">
        <v>111</v>
      </c>
      <c r="I231" s="38"/>
      <c r="J231" s="38"/>
      <c r="K231" s="38"/>
      <c r="L231" s="38"/>
      <c r="M231" s="38"/>
    </row>
    <row r="232" spans="1:13" x14ac:dyDescent="0.25">
      <c r="A232" t="s">
        <v>859</v>
      </c>
      <c r="B232">
        <v>78.959999999999994</v>
      </c>
      <c r="C232" t="s">
        <v>245</v>
      </c>
      <c r="D232">
        <v>987.53591205878161</v>
      </c>
      <c r="E232">
        <v>907.41959618758835</v>
      </c>
      <c r="F232">
        <v>232</v>
      </c>
      <c r="G232">
        <v>10</v>
      </c>
      <c r="H232">
        <v>112</v>
      </c>
    </row>
    <row r="233" spans="1:13" x14ac:dyDescent="0.25">
      <c r="A233" s="38" t="s">
        <v>860</v>
      </c>
      <c r="B233" s="38">
        <v>79.010000000000005</v>
      </c>
      <c r="C233" s="38" t="s">
        <v>246</v>
      </c>
      <c r="D233" s="38">
        <v>988.56506745878164</v>
      </c>
      <c r="E233" s="38">
        <v>907.72834281985683</v>
      </c>
      <c r="F233" s="38">
        <v>233</v>
      </c>
      <c r="G233" s="38">
        <v>10</v>
      </c>
      <c r="H233" s="38">
        <v>112</v>
      </c>
      <c r="I233" s="38"/>
      <c r="J233" s="38"/>
      <c r="K233" s="38"/>
      <c r="L233" s="38"/>
      <c r="M233" s="38"/>
    </row>
    <row r="234" spans="1:13" x14ac:dyDescent="0.25">
      <c r="A234" t="s">
        <v>861</v>
      </c>
      <c r="B234">
        <v>79.650000000000006</v>
      </c>
      <c r="C234" t="s">
        <v>247</v>
      </c>
      <c r="D234">
        <v>996.20220730393737</v>
      </c>
      <c r="E234">
        <v>915.36548266501256</v>
      </c>
      <c r="F234">
        <v>234</v>
      </c>
      <c r="G234">
        <v>11</v>
      </c>
      <c r="H234">
        <v>113</v>
      </c>
    </row>
    <row r="235" spans="1:13" x14ac:dyDescent="0.25">
      <c r="A235" s="38" t="s">
        <v>862</v>
      </c>
      <c r="B235" s="38">
        <v>79.7</v>
      </c>
      <c r="C235" s="38" t="s">
        <v>248</v>
      </c>
      <c r="D235" s="38">
        <v>997.23136270393741</v>
      </c>
      <c r="E235" s="38">
        <v>915.67422929728104</v>
      </c>
      <c r="F235" s="38">
        <v>235</v>
      </c>
      <c r="G235" s="38">
        <v>11</v>
      </c>
      <c r="H235" s="38">
        <v>113</v>
      </c>
      <c r="I235" s="38"/>
      <c r="J235" s="38"/>
      <c r="K235" s="38"/>
      <c r="L235" s="38"/>
      <c r="M235" s="38"/>
    </row>
    <row r="236" spans="1:13" x14ac:dyDescent="0.25">
      <c r="A236" t="s">
        <v>863</v>
      </c>
      <c r="B236">
        <v>80.34</v>
      </c>
      <c r="C236" t="s">
        <v>249</v>
      </c>
      <c r="D236">
        <v>1004.8685025490931</v>
      </c>
      <c r="E236">
        <v>923.31136914243677</v>
      </c>
      <c r="F236">
        <v>236</v>
      </c>
      <c r="G236">
        <v>12</v>
      </c>
      <c r="H236">
        <v>114</v>
      </c>
    </row>
    <row r="237" spans="1:13" x14ac:dyDescent="0.25">
      <c r="A237" s="38" t="s">
        <v>864</v>
      </c>
      <c r="B237" s="38">
        <v>80.400000000000006</v>
      </c>
      <c r="C237" s="38" t="s">
        <v>250</v>
      </c>
      <c r="D237" s="38">
        <v>1005.8976579490932</v>
      </c>
      <c r="E237" s="38">
        <v>923.62011577470525</v>
      </c>
      <c r="F237" s="38">
        <v>237</v>
      </c>
      <c r="G237" s="38">
        <v>12</v>
      </c>
      <c r="H237" s="38">
        <v>114</v>
      </c>
      <c r="I237" s="38"/>
      <c r="J237" s="38"/>
      <c r="K237" s="38"/>
      <c r="L237" s="38"/>
      <c r="M237" s="38"/>
    </row>
    <row r="238" spans="1:13" x14ac:dyDescent="0.25">
      <c r="A238" t="s">
        <v>865</v>
      </c>
      <c r="B238">
        <v>81.03</v>
      </c>
      <c r="C238" t="s">
        <v>251</v>
      </c>
      <c r="D238">
        <v>1013.5347977942489</v>
      </c>
      <c r="E238">
        <v>931.25725561986098</v>
      </c>
      <c r="F238">
        <v>238</v>
      </c>
      <c r="G238">
        <v>13</v>
      </c>
      <c r="H238">
        <v>115</v>
      </c>
    </row>
    <row r="239" spans="1:13" x14ac:dyDescent="0.25">
      <c r="A239" s="38" t="s">
        <v>866</v>
      </c>
      <c r="B239" s="38">
        <v>81.09</v>
      </c>
      <c r="C239" s="38" t="s">
        <v>252</v>
      </c>
      <c r="D239" s="38">
        <v>1014.5639531942489</v>
      </c>
      <c r="E239" s="38">
        <v>931.56600225212946</v>
      </c>
      <c r="F239" s="38">
        <v>239</v>
      </c>
      <c r="G239" s="38">
        <v>13</v>
      </c>
      <c r="H239" s="38">
        <v>115</v>
      </c>
      <c r="I239" s="38"/>
      <c r="J239" s="38"/>
      <c r="K239" s="38"/>
      <c r="L239" s="38"/>
      <c r="M239" s="38"/>
    </row>
    <row r="240" spans="1:13" x14ac:dyDescent="0.25">
      <c r="A240" t="s">
        <v>867</v>
      </c>
      <c r="B240">
        <v>81.73</v>
      </c>
      <c r="C240" t="s">
        <v>253</v>
      </c>
      <c r="D240">
        <v>1022.2010930394047</v>
      </c>
      <c r="E240">
        <v>939.20314209728519</v>
      </c>
      <c r="F240">
        <v>240</v>
      </c>
      <c r="G240">
        <v>14</v>
      </c>
      <c r="H240">
        <v>116</v>
      </c>
    </row>
    <row r="241" spans="1:13" x14ac:dyDescent="0.25">
      <c r="A241" s="38" t="s">
        <v>868</v>
      </c>
      <c r="B241" s="38">
        <v>81.78</v>
      </c>
      <c r="C241" s="38" t="s">
        <v>254</v>
      </c>
      <c r="D241" s="38">
        <v>1023.2302484394047</v>
      </c>
      <c r="E241" s="38">
        <v>939.51188872955368</v>
      </c>
      <c r="F241" s="38">
        <v>241</v>
      </c>
      <c r="G241" s="38">
        <v>14</v>
      </c>
      <c r="H241" s="38">
        <v>116</v>
      </c>
      <c r="I241" s="38"/>
      <c r="J241" s="38"/>
      <c r="K241" s="38"/>
      <c r="L241" s="38"/>
      <c r="M241" s="38"/>
    </row>
    <row r="242" spans="1:13" x14ac:dyDescent="0.25">
      <c r="A242" t="s">
        <v>869</v>
      </c>
      <c r="B242">
        <v>82.42</v>
      </c>
      <c r="C242" t="s">
        <v>255</v>
      </c>
      <c r="D242">
        <v>1030.8673882845603</v>
      </c>
      <c r="E242">
        <v>947.1490285747094</v>
      </c>
      <c r="F242">
        <v>242</v>
      </c>
      <c r="G242">
        <v>15</v>
      </c>
      <c r="H242">
        <v>117</v>
      </c>
    </row>
    <row r="243" spans="1:13" x14ac:dyDescent="0.25">
      <c r="A243" s="38" t="s">
        <v>870</v>
      </c>
      <c r="B243" s="38">
        <v>82.47</v>
      </c>
      <c r="C243" s="38" t="s">
        <v>256</v>
      </c>
      <c r="D243" s="38">
        <v>1031.8965436845604</v>
      </c>
      <c r="E243" s="38">
        <v>947.45777520697789</v>
      </c>
      <c r="F243" s="38">
        <v>243</v>
      </c>
      <c r="G243" s="38">
        <v>15</v>
      </c>
      <c r="H243" s="38">
        <v>117</v>
      </c>
      <c r="I243" s="38"/>
      <c r="J243" s="38"/>
      <c r="K243" s="38"/>
      <c r="L243" s="38"/>
      <c r="M243" s="38"/>
    </row>
    <row r="244" spans="1:13" x14ac:dyDescent="0.25">
      <c r="A244" t="s">
        <v>871</v>
      </c>
      <c r="B244">
        <v>83.11</v>
      </c>
      <c r="C244" t="s">
        <v>257</v>
      </c>
      <c r="D244">
        <v>1039.533683529716</v>
      </c>
      <c r="E244">
        <v>955.09491505213362</v>
      </c>
      <c r="F244">
        <v>244</v>
      </c>
      <c r="G244">
        <v>16</v>
      </c>
      <c r="H244">
        <v>118</v>
      </c>
    </row>
    <row r="245" spans="1:13" x14ac:dyDescent="0.25">
      <c r="A245" s="38" t="s">
        <v>872</v>
      </c>
      <c r="B245" s="38">
        <v>83.17</v>
      </c>
      <c r="C245" s="38" t="s">
        <v>258</v>
      </c>
      <c r="D245" s="38">
        <v>1040.562838929716</v>
      </c>
      <c r="E245" s="38">
        <v>955.4036616844021</v>
      </c>
      <c r="F245" s="38">
        <v>245</v>
      </c>
      <c r="G245" s="38">
        <v>16</v>
      </c>
      <c r="H245" s="38">
        <v>118</v>
      </c>
      <c r="I245" s="38"/>
      <c r="J245" s="38"/>
      <c r="K245" s="38"/>
      <c r="L245" s="38"/>
      <c r="M245" s="38"/>
    </row>
    <row r="246" spans="1:13" x14ac:dyDescent="0.25">
      <c r="A246" t="s">
        <v>873</v>
      </c>
      <c r="B246">
        <v>83.8</v>
      </c>
      <c r="C246" t="s">
        <v>259</v>
      </c>
      <c r="D246">
        <v>1048.1999787748716</v>
      </c>
      <c r="E246">
        <v>963.04080152955783</v>
      </c>
      <c r="F246">
        <v>246</v>
      </c>
      <c r="G246">
        <v>17</v>
      </c>
      <c r="H246">
        <v>119</v>
      </c>
    </row>
    <row r="247" spans="1:13" x14ac:dyDescent="0.25">
      <c r="A247" s="39" t="s">
        <v>874</v>
      </c>
      <c r="B247" s="39">
        <v>84.11</v>
      </c>
      <c r="C247" s="39" t="s">
        <v>260</v>
      </c>
      <c r="D247" s="39">
        <v>1052.2291341748717</v>
      </c>
      <c r="E247" s="39">
        <v>966.34954816182631</v>
      </c>
      <c r="F247" s="39">
        <v>247</v>
      </c>
      <c r="G247" s="39">
        <v>17</v>
      </c>
      <c r="H247" s="39">
        <v>119</v>
      </c>
      <c r="I247" s="39"/>
      <c r="J247" s="39"/>
      <c r="K247" s="39"/>
      <c r="L247" s="39"/>
      <c r="M247" s="39"/>
    </row>
    <row r="248" spans="1:13" x14ac:dyDescent="0.25">
      <c r="A248" t="s">
        <v>875</v>
      </c>
      <c r="B248">
        <v>84.74</v>
      </c>
      <c r="C248" t="s">
        <v>261</v>
      </c>
      <c r="D248">
        <v>1059.8662740200273</v>
      </c>
      <c r="E248">
        <v>973.98668800698204</v>
      </c>
      <c r="F248">
        <v>248</v>
      </c>
      <c r="G248">
        <v>1</v>
      </c>
      <c r="H248">
        <v>120</v>
      </c>
    </row>
    <row r="249" spans="1:13" x14ac:dyDescent="0.25">
      <c r="A249" s="38" t="s">
        <v>876</v>
      </c>
      <c r="B249" s="38">
        <v>84.8</v>
      </c>
      <c r="C249" s="38" t="s">
        <v>262</v>
      </c>
      <c r="D249" s="38">
        <v>1060.8954294200273</v>
      </c>
      <c r="E249" s="38">
        <v>974.29543463925052</v>
      </c>
      <c r="F249" s="38">
        <v>249</v>
      </c>
      <c r="G249" s="38">
        <v>1</v>
      </c>
      <c r="H249" s="38">
        <v>120</v>
      </c>
      <c r="I249" s="38"/>
      <c r="J249" s="38"/>
      <c r="K249" s="38"/>
      <c r="L249" s="38"/>
      <c r="M249" s="38"/>
    </row>
    <row r="250" spans="1:13" x14ac:dyDescent="0.25">
      <c r="A250" t="s">
        <v>877</v>
      </c>
      <c r="B250">
        <v>85.44</v>
      </c>
      <c r="C250" t="s">
        <v>263</v>
      </c>
      <c r="D250">
        <v>1068.5325692651829</v>
      </c>
      <c r="E250">
        <v>981.93257448440625</v>
      </c>
      <c r="F250">
        <v>250</v>
      </c>
      <c r="G250">
        <v>2</v>
      </c>
      <c r="H250">
        <v>121</v>
      </c>
    </row>
    <row r="251" spans="1:13" x14ac:dyDescent="0.25">
      <c r="A251" s="38" t="s">
        <v>878</v>
      </c>
      <c r="B251" s="38">
        <v>85.49</v>
      </c>
      <c r="C251" s="38" t="s">
        <v>264</v>
      </c>
      <c r="D251" s="38">
        <v>1069.561724665183</v>
      </c>
      <c r="E251" s="38">
        <v>982.24132111667473</v>
      </c>
      <c r="F251" s="38">
        <v>251</v>
      </c>
      <c r="G251" s="38">
        <v>2</v>
      </c>
      <c r="H251" s="38">
        <v>121</v>
      </c>
      <c r="I251" s="38"/>
      <c r="J251" s="38"/>
      <c r="K251" s="38"/>
      <c r="L251" s="38"/>
      <c r="M251" s="38"/>
    </row>
    <row r="252" spans="1:13" x14ac:dyDescent="0.25">
      <c r="A252" t="s">
        <v>879</v>
      </c>
      <c r="B252">
        <v>86.13</v>
      </c>
      <c r="C252" t="s">
        <v>265</v>
      </c>
      <c r="D252">
        <v>1077.1988645103386</v>
      </c>
      <c r="E252">
        <v>989.87846096183046</v>
      </c>
      <c r="F252">
        <v>252</v>
      </c>
      <c r="G252">
        <v>3</v>
      </c>
      <c r="H252">
        <v>122</v>
      </c>
    </row>
    <row r="253" spans="1:13" x14ac:dyDescent="0.25">
      <c r="A253" s="38" t="s">
        <v>880</v>
      </c>
      <c r="B253" s="38">
        <v>86.18</v>
      </c>
      <c r="C253" s="38" t="s">
        <v>266</v>
      </c>
      <c r="D253" s="38">
        <v>1078.2280199103386</v>
      </c>
      <c r="E253" s="38">
        <v>990.18720759409894</v>
      </c>
      <c r="F253" s="38">
        <v>253</v>
      </c>
      <c r="G253" s="38">
        <v>3</v>
      </c>
      <c r="H253" s="38">
        <v>122</v>
      </c>
      <c r="I253" s="38"/>
      <c r="J253" s="38"/>
      <c r="K253" s="38"/>
      <c r="L253" s="38"/>
      <c r="M253" s="38"/>
    </row>
    <row r="254" spans="1:13" x14ac:dyDescent="0.25">
      <c r="A254" t="s">
        <v>881</v>
      </c>
      <c r="B254">
        <v>86.82</v>
      </c>
      <c r="C254" t="s">
        <v>267</v>
      </c>
      <c r="D254">
        <v>1085.8651597554942</v>
      </c>
      <c r="E254">
        <v>997.82434743925467</v>
      </c>
      <c r="F254">
        <v>254</v>
      </c>
      <c r="G254">
        <v>4</v>
      </c>
      <c r="H254">
        <v>123</v>
      </c>
    </row>
    <row r="255" spans="1:13" x14ac:dyDescent="0.25">
      <c r="A255" s="38" t="s">
        <v>882</v>
      </c>
      <c r="B255" s="38">
        <v>86.88</v>
      </c>
      <c r="C255" s="38" t="s">
        <v>268</v>
      </c>
      <c r="D255" s="38">
        <v>1086.8943151554943</v>
      </c>
      <c r="E255" s="38">
        <v>998.13309407152315</v>
      </c>
      <c r="F255" s="38">
        <v>255</v>
      </c>
      <c r="G255" s="38">
        <v>4</v>
      </c>
      <c r="H255" s="38">
        <v>123</v>
      </c>
      <c r="I255" s="38"/>
      <c r="J255" s="38"/>
      <c r="K255" s="38"/>
      <c r="L255" s="38"/>
      <c r="M255" s="38"/>
    </row>
    <row r="256" spans="1:13" x14ac:dyDescent="0.25">
      <c r="A256" t="s">
        <v>883</v>
      </c>
      <c r="B256">
        <v>87.51</v>
      </c>
      <c r="C256" t="s">
        <v>269</v>
      </c>
      <c r="D256">
        <v>1094.5314550006499</v>
      </c>
      <c r="E256">
        <v>1005.7702339166789</v>
      </c>
      <c r="F256">
        <v>256</v>
      </c>
      <c r="G256">
        <v>5</v>
      </c>
      <c r="H256">
        <v>124</v>
      </c>
    </row>
    <row r="257" spans="1:13" x14ac:dyDescent="0.25">
      <c r="A257" s="38" t="s">
        <v>884</v>
      </c>
      <c r="B257" s="38">
        <v>87.57</v>
      </c>
      <c r="C257" s="38" t="s">
        <v>270</v>
      </c>
      <c r="D257" s="38">
        <v>1095.5606104006499</v>
      </c>
      <c r="E257" s="38">
        <v>1006.0789805489474</v>
      </c>
      <c r="F257" s="38">
        <v>257</v>
      </c>
      <c r="G257" s="38">
        <v>5</v>
      </c>
      <c r="H257" s="38">
        <v>124</v>
      </c>
      <c r="I257" s="38"/>
      <c r="J257" s="38"/>
      <c r="K257" s="38"/>
      <c r="L257" s="38"/>
      <c r="M257" s="38"/>
    </row>
    <row r="258" spans="1:13" x14ac:dyDescent="0.25">
      <c r="A258" t="s">
        <v>885</v>
      </c>
      <c r="B258">
        <v>88.2</v>
      </c>
      <c r="C258" t="s">
        <v>271</v>
      </c>
      <c r="D258">
        <v>1103.1977502458055</v>
      </c>
      <c r="E258">
        <v>1013.7161203941031</v>
      </c>
      <c r="F258">
        <v>258</v>
      </c>
      <c r="G258">
        <v>6</v>
      </c>
      <c r="H258">
        <v>125</v>
      </c>
    </row>
    <row r="259" spans="1:13" x14ac:dyDescent="0.25">
      <c r="A259" s="38" t="s">
        <v>886</v>
      </c>
      <c r="B259" s="38">
        <v>88.26</v>
      </c>
      <c r="C259" s="38" t="s">
        <v>272</v>
      </c>
      <c r="D259" s="38">
        <v>1104.2269056458056</v>
      </c>
      <c r="E259" s="38">
        <v>1014.0248670263716</v>
      </c>
      <c r="F259" s="38">
        <v>259</v>
      </c>
      <c r="G259" s="38">
        <v>6</v>
      </c>
      <c r="H259" s="38">
        <v>125</v>
      </c>
      <c r="I259" s="38"/>
      <c r="J259" s="38"/>
      <c r="K259" s="38"/>
      <c r="L259" s="38"/>
      <c r="M259" s="38"/>
    </row>
    <row r="260" spans="1:13" x14ac:dyDescent="0.25">
      <c r="A260" t="s">
        <v>887</v>
      </c>
      <c r="B260">
        <v>88.9</v>
      </c>
      <c r="C260" t="s">
        <v>273</v>
      </c>
      <c r="D260">
        <v>1111.8640454909612</v>
      </c>
      <c r="E260">
        <v>1021.6620068715273</v>
      </c>
      <c r="F260">
        <v>260</v>
      </c>
      <c r="G260">
        <v>7</v>
      </c>
      <c r="H260">
        <v>126</v>
      </c>
    </row>
    <row r="261" spans="1:13" x14ac:dyDescent="0.25">
      <c r="A261" s="38" t="s">
        <v>888</v>
      </c>
      <c r="B261" s="38">
        <v>88.95</v>
      </c>
      <c r="C261" s="38" t="s">
        <v>274</v>
      </c>
      <c r="D261" s="38">
        <v>1112.8932008909612</v>
      </c>
      <c r="E261" s="38">
        <v>1021.9707535037958</v>
      </c>
      <c r="F261" s="38">
        <v>261</v>
      </c>
      <c r="G261" s="38">
        <v>7</v>
      </c>
      <c r="H261" s="38">
        <v>126</v>
      </c>
      <c r="I261" s="38"/>
      <c r="J261" s="38"/>
      <c r="K261" s="38"/>
      <c r="L261" s="38"/>
      <c r="M261" s="38"/>
    </row>
    <row r="262" spans="1:13" x14ac:dyDescent="0.25">
      <c r="A262" t="s">
        <v>889</v>
      </c>
      <c r="B262">
        <v>89.59</v>
      </c>
      <c r="C262" t="s">
        <v>275</v>
      </c>
      <c r="D262">
        <v>1120.5303407361168</v>
      </c>
      <c r="E262">
        <v>1029.6078933489514</v>
      </c>
      <c r="F262">
        <v>262</v>
      </c>
      <c r="G262">
        <v>8</v>
      </c>
      <c r="H262">
        <v>127</v>
      </c>
    </row>
    <row r="263" spans="1:13" x14ac:dyDescent="0.25">
      <c r="A263" s="38" t="s">
        <v>890</v>
      </c>
      <c r="B263" s="38">
        <v>89.64</v>
      </c>
      <c r="C263" s="38" t="s">
        <v>276</v>
      </c>
      <c r="D263" s="38">
        <v>1121.5594961361169</v>
      </c>
      <c r="E263" s="38">
        <v>1029.91663998122</v>
      </c>
      <c r="F263" s="38">
        <v>263</v>
      </c>
      <c r="G263" s="38">
        <v>8</v>
      </c>
      <c r="H263" s="38">
        <v>127</v>
      </c>
      <c r="I263" s="38"/>
      <c r="J263" s="38"/>
      <c r="K263" s="38"/>
      <c r="L263" s="38"/>
      <c r="M263" s="38"/>
    </row>
    <row r="264" spans="1:13" x14ac:dyDescent="0.25">
      <c r="A264" t="s">
        <v>891</v>
      </c>
      <c r="B264">
        <v>90.28</v>
      </c>
      <c r="C264" t="s">
        <v>277</v>
      </c>
      <c r="D264">
        <v>1129.1966359812725</v>
      </c>
      <c r="E264">
        <v>1037.5537798263756</v>
      </c>
      <c r="F264">
        <v>264</v>
      </c>
      <c r="G264">
        <v>9</v>
      </c>
      <c r="H264">
        <v>128</v>
      </c>
    </row>
    <row r="265" spans="1:13" x14ac:dyDescent="0.25">
      <c r="A265" s="38" t="s">
        <v>892</v>
      </c>
      <c r="B265" s="38">
        <v>90.34</v>
      </c>
      <c r="C265" s="38" t="s">
        <v>278</v>
      </c>
      <c r="D265" s="38">
        <v>1130.2257913812725</v>
      </c>
      <c r="E265" s="38">
        <v>1037.8625264586442</v>
      </c>
      <c r="F265" s="38">
        <v>265</v>
      </c>
      <c r="G265" s="38">
        <v>9</v>
      </c>
      <c r="H265" s="38">
        <v>128</v>
      </c>
      <c r="I265" s="38"/>
      <c r="J265" s="38"/>
      <c r="K265" s="38"/>
      <c r="L265" s="38"/>
      <c r="M265" s="38"/>
    </row>
    <row r="266" spans="1:13" x14ac:dyDescent="0.25">
      <c r="A266" t="s">
        <v>893</v>
      </c>
      <c r="B266">
        <v>90.97</v>
      </c>
      <c r="C266" t="s">
        <v>279</v>
      </c>
      <c r="D266">
        <v>1137.8629312264281</v>
      </c>
      <c r="E266">
        <v>1045.4996663037998</v>
      </c>
      <c r="F266">
        <v>266</v>
      </c>
      <c r="G266">
        <v>10</v>
      </c>
      <c r="H266">
        <v>129</v>
      </c>
    </row>
    <row r="267" spans="1:13" x14ac:dyDescent="0.25">
      <c r="A267" s="38" t="s">
        <v>894</v>
      </c>
      <c r="B267" s="38">
        <v>91.03</v>
      </c>
      <c r="C267" s="38" t="s">
        <v>280</v>
      </c>
      <c r="D267" s="38">
        <v>1138.8920866264282</v>
      </c>
      <c r="E267" s="38">
        <v>1045.8084129360684</v>
      </c>
      <c r="F267" s="38">
        <v>267</v>
      </c>
      <c r="G267" s="38">
        <v>10</v>
      </c>
      <c r="H267" s="38">
        <v>129</v>
      </c>
      <c r="I267" s="38"/>
      <c r="J267" s="38"/>
      <c r="K267" s="38"/>
      <c r="L267" s="38"/>
      <c r="M267" s="38"/>
    </row>
    <row r="268" spans="1:13" x14ac:dyDescent="0.25">
      <c r="A268" t="s">
        <v>895</v>
      </c>
      <c r="B268">
        <v>91.67</v>
      </c>
      <c r="C268" t="s">
        <v>281</v>
      </c>
      <c r="D268">
        <v>1146.5292264715838</v>
      </c>
      <c r="E268">
        <v>1053.445552781224</v>
      </c>
      <c r="F268">
        <v>268</v>
      </c>
      <c r="G268">
        <v>11</v>
      </c>
      <c r="H268">
        <v>130</v>
      </c>
    </row>
    <row r="269" spans="1:13" x14ac:dyDescent="0.25">
      <c r="A269" s="38" t="s">
        <v>896</v>
      </c>
      <c r="B269" s="38">
        <v>91.72</v>
      </c>
      <c r="C269" s="38" t="s">
        <v>282</v>
      </c>
      <c r="D269" s="38">
        <v>1147.5583818715838</v>
      </c>
      <c r="E269" s="38">
        <v>1053.7542994134926</v>
      </c>
      <c r="F269" s="38">
        <v>269</v>
      </c>
      <c r="G269" s="38">
        <v>11</v>
      </c>
      <c r="H269" s="38">
        <v>130</v>
      </c>
      <c r="I269" s="38"/>
      <c r="J269" s="38"/>
      <c r="K269" s="38"/>
      <c r="L269" s="38"/>
      <c r="M269" s="38"/>
    </row>
    <row r="270" spans="1:13" x14ac:dyDescent="0.25">
      <c r="A270" t="s">
        <v>897</v>
      </c>
      <c r="B270">
        <v>92.36</v>
      </c>
      <c r="C270" t="s">
        <v>283</v>
      </c>
      <c r="D270">
        <v>1155.1955217167394</v>
      </c>
      <c r="E270">
        <v>1061.3914392586482</v>
      </c>
      <c r="F270">
        <v>270</v>
      </c>
      <c r="G270">
        <v>12</v>
      </c>
      <c r="H270">
        <v>131</v>
      </c>
    </row>
    <row r="271" spans="1:13" x14ac:dyDescent="0.25">
      <c r="A271" s="38" t="s">
        <v>898</v>
      </c>
      <c r="B271" s="38">
        <v>92.41</v>
      </c>
      <c r="C271" s="38" t="s">
        <v>284</v>
      </c>
      <c r="D271" s="38">
        <v>1156.2246771167395</v>
      </c>
      <c r="E271" s="38">
        <v>1061.7001858909168</v>
      </c>
      <c r="F271" s="38">
        <v>271</v>
      </c>
      <c r="G271" s="38">
        <v>12</v>
      </c>
      <c r="H271" s="38">
        <v>131</v>
      </c>
      <c r="I271" s="38"/>
      <c r="J271" s="38"/>
      <c r="K271" s="38"/>
      <c r="L271" s="38"/>
      <c r="M271" s="38"/>
    </row>
    <row r="272" spans="1:13" x14ac:dyDescent="0.25">
      <c r="A272" t="s">
        <v>899</v>
      </c>
      <c r="B272">
        <v>93.05</v>
      </c>
      <c r="C272" t="s">
        <v>285</v>
      </c>
      <c r="D272">
        <v>1163.8618169618951</v>
      </c>
      <c r="E272">
        <v>1069.3373257360724</v>
      </c>
      <c r="F272">
        <v>272</v>
      </c>
      <c r="G272">
        <v>13</v>
      </c>
      <c r="H272">
        <v>132</v>
      </c>
    </row>
    <row r="273" spans="1:13" x14ac:dyDescent="0.25">
      <c r="A273" s="38" t="s">
        <v>900</v>
      </c>
      <c r="B273" s="38">
        <v>93.11</v>
      </c>
      <c r="C273" s="38" t="s">
        <v>286</v>
      </c>
      <c r="D273" s="38">
        <v>1164.8909723618951</v>
      </c>
      <c r="E273" s="38">
        <v>1069.646072368341</v>
      </c>
      <c r="F273" s="38">
        <v>273</v>
      </c>
      <c r="G273" s="38">
        <v>13</v>
      </c>
      <c r="H273" s="38">
        <v>132</v>
      </c>
      <c r="I273" s="38"/>
      <c r="J273" s="38"/>
      <c r="K273" s="38"/>
      <c r="L273" s="38"/>
      <c r="M273" s="38"/>
    </row>
    <row r="274" spans="1:13" x14ac:dyDescent="0.25">
      <c r="A274" t="s">
        <v>901</v>
      </c>
      <c r="B274">
        <v>93.74</v>
      </c>
      <c r="C274" t="s">
        <v>287</v>
      </c>
      <c r="D274">
        <v>1172.5281122070508</v>
      </c>
      <c r="E274">
        <v>1077.2832122134967</v>
      </c>
      <c r="F274">
        <v>274</v>
      </c>
      <c r="G274">
        <v>14</v>
      </c>
      <c r="H274">
        <v>133</v>
      </c>
    </row>
    <row r="275" spans="1:13" x14ac:dyDescent="0.25">
      <c r="A275" s="38" t="s">
        <v>902</v>
      </c>
      <c r="B275" s="38">
        <v>93.8</v>
      </c>
      <c r="C275" s="38" t="s">
        <v>288</v>
      </c>
      <c r="D275" s="38">
        <v>1173.5572676070508</v>
      </c>
      <c r="E275" s="38">
        <v>1077.5919588457652</v>
      </c>
      <c r="F275" s="38">
        <v>275</v>
      </c>
      <c r="G275" s="38">
        <v>14</v>
      </c>
      <c r="H275" s="38">
        <v>133</v>
      </c>
      <c r="I275" s="38"/>
      <c r="J275" s="38"/>
      <c r="K275" s="38"/>
      <c r="L275" s="38"/>
      <c r="M275" s="38"/>
    </row>
    <row r="276" spans="1:13" x14ac:dyDescent="0.25">
      <c r="A276" t="s">
        <v>903</v>
      </c>
      <c r="B276">
        <v>94.43</v>
      </c>
      <c r="C276" t="s">
        <v>289</v>
      </c>
      <c r="D276">
        <v>1181.1944074522064</v>
      </c>
      <c r="E276">
        <v>1085.2290986909209</v>
      </c>
      <c r="F276">
        <v>276</v>
      </c>
      <c r="G276">
        <v>15</v>
      </c>
      <c r="H276">
        <v>134</v>
      </c>
    </row>
    <row r="277" spans="1:13" x14ac:dyDescent="0.25">
      <c r="A277" s="38" t="s">
        <v>904</v>
      </c>
      <c r="B277" s="38">
        <v>94.49</v>
      </c>
      <c r="C277" s="38" t="s">
        <v>290</v>
      </c>
      <c r="D277" s="38">
        <v>1182.2235628522064</v>
      </c>
      <c r="E277" s="38">
        <v>1085.5378453231895</v>
      </c>
      <c r="F277" s="38">
        <v>277</v>
      </c>
      <c r="G277" s="38">
        <v>15</v>
      </c>
      <c r="H277" s="38">
        <v>134</v>
      </c>
      <c r="I277" s="38"/>
      <c r="J277" s="38"/>
      <c r="K277" s="38"/>
      <c r="L277" s="38"/>
      <c r="M277" s="38"/>
    </row>
    <row r="278" spans="1:13" x14ac:dyDescent="0.25">
      <c r="A278" t="s">
        <v>905</v>
      </c>
      <c r="B278">
        <v>95.13</v>
      </c>
      <c r="C278" t="s">
        <v>291</v>
      </c>
      <c r="D278">
        <v>1189.8607026973621</v>
      </c>
      <c r="E278">
        <v>1093.1749851683451</v>
      </c>
      <c r="F278">
        <v>278</v>
      </c>
      <c r="G278">
        <v>16</v>
      </c>
      <c r="H278">
        <v>135</v>
      </c>
    </row>
    <row r="279" spans="1:13" x14ac:dyDescent="0.25">
      <c r="A279" s="38" t="s">
        <v>906</v>
      </c>
      <c r="B279" s="38">
        <v>95.18</v>
      </c>
      <c r="C279" s="38" t="s">
        <v>292</v>
      </c>
      <c r="D279" s="38">
        <v>1190.8898580973621</v>
      </c>
      <c r="E279" s="38">
        <v>1093.4837318006137</v>
      </c>
      <c r="F279" s="38">
        <v>279</v>
      </c>
      <c r="G279" s="38">
        <v>16</v>
      </c>
      <c r="H279" s="38">
        <v>135</v>
      </c>
      <c r="I279" s="38"/>
      <c r="J279" s="38"/>
      <c r="K279" s="38"/>
      <c r="L279" s="38"/>
      <c r="M279" s="38"/>
    </row>
    <row r="280" spans="1:13" x14ac:dyDescent="0.25">
      <c r="A280" t="s">
        <v>907</v>
      </c>
      <c r="B280">
        <v>95.82</v>
      </c>
      <c r="C280" t="s">
        <v>293</v>
      </c>
      <c r="D280">
        <v>1198.5269979425177</v>
      </c>
      <c r="E280">
        <v>1101.1208716457693</v>
      </c>
      <c r="F280">
        <v>280</v>
      </c>
      <c r="G280">
        <v>17</v>
      </c>
      <c r="H280">
        <v>136</v>
      </c>
    </row>
    <row r="281" spans="1:13" x14ac:dyDescent="0.25">
      <c r="A281" s="39" t="s">
        <v>908</v>
      </c>
      <c r="B281" s="39">
        <v>96.12</v>
      </c>
      <c r="C281" s="39" t="s">
        <v>294</v>
      </c>
      <c r="D281" s="39">
        <v>1202.5561533425177</v>
      </c>
      <c r="E281" s="39">
        <v>1104.4296182780379</v>
      </c>
      <c r="F281" s="39">
        <v>281</v>
      </c>
      <c r="G281" s="39">
        <v>17</v>
      </c>
      <c r="H281" s="39">
        <v>136</v>
      </c>
      <c r="I281" s="39"/>
      <c r="J281" s="39"/>
      <c r="K281" s="39"/>
      <c r="L281" s="39"/>
      <c r="M281" s="39"/>
    </row>
    <row r="282" spans="1:13" x14ac:dyDescent="0.25">
      <c r="A282" t="s">
        <v>909</v>
      </c>
      <c r="B282">
        <v>96.76</v>
      </c>
      <c r="C282" t="s">
        <v>295</v>
      </c>
      <c r="D282">
        <v>1210.1932931876734</v>
      </c>
      <c r="E282">
        <v>1112.0667581231935</v>
      </c>
      <c r="F282">
        <v>282</v>
      </c>
      <c r="G282">
        <v>1</v>
      </c>
      <c r="H282">
        <v>137</v>
      </c>
    </row>
    <row r="283" spans="1:13" x14ac:dyDescent="0.25">
      <c r="A283" s="38" t="s">
        <v>910</v>
      </c>
      <c r="B283" s="38">
        <v>96.82</v>
      </c>
      <c r="C283" s="38" t="s">
        <v>296</v>
      </c>
      <c r="D283" s="38">
        <v>1211.2224485876734</v>
      </c>
      <c r="E283" s="38">
        <v>1112.3755047554621</v>
      </c>
      <c r="F283" s="38">
        <v>283</v>
      </c>
      <c r="G283" s="38">
        <v>1</v>
      </c>
      <c r="H283" s="38">
        <v>137</v>
      </c>
      <c r="I283" s="38"/>
      <c r="J283" s="38"/>
      <c r="K283" s="38"/>
      <c r="L283" s="38"/>
      <c r="M283" s="38"/>
    </row>
    <row r="284" spans="1:13" x14ac:dyDescent="0.25">
      <c r="A284" t="s">
        <v>911</v>
      </c>
      <c r="B284">
        <v>97.45</v>
      </c>
      <c r="C284" t="s">
        <v>297</v>
      </c>
      <c r="D284">
        <v>1218.859588432829</v>
      </c>
      <c r="E284">
        <v>1120.0126446006177</v>
      </c>
      <c r="F284">
        <v>284</v>
      </c>
      <c r="G284">
        <v>2</v>
      </c>
      <c r="H284">
        <v>138</v>
      </c>
    </row>
    <row r="285" spans="1:13" x14ac:dyDescent="0.25">
      <c r="A285" s="38" t="s">
        <v>912</v>
      </c>
      <c r="B285" s="38">
        <v>97.51</v>
      </c>
      <c r="C285" s="38" t="s">
        <v>298</v>
      </c>
      <c r="D285" s="38">
        <v>1219.8887438328291</v>
      </c>
      <c r="E285" s="38">
        <v>1120.3213912328863</v>
      </c>
      <c r="F285" s="38">
        <v>285</v>
      </c>
      <c r="G285" s="38">
        <v>2</v>
      </c>
      <c r="H285" s="38">
        <v>138</v>
      </c>
      <c r="I285" s="38"/>
      <c r="J285" s="38"/>
      <c r="K285" s="38"/>
      <c r="L285" s="38"/>
      <c r="M285" s="38"/>
    </row>
    <row r="286" spans="1:13" x14ac:dyDescent="0.25">
      <c r="A286" t="s">
        <v>913</v>
      </c>
      <c r="B286">
        <v>98.15</v>
      </c>
      <c r="C286" t="s">
        <v>299</v>
      </c>
      <c r="D286">
        <v>1227.5258836779847</v>
      </c>
      <c r="E286">
        <v>1127.9585310780419</v>
      </c>
      <c r="F286">
        <v>286</v>
      </c>
      <c r="G286">
        <v>3</v>
      </c>
      <c r="H286">
        <v>139</v>
      </c>
    </row>
    <row r="287" spans="1:13" x14ac:dyDescent="0.25">
      <c r="A287" s="38" t="s">
        <v>914</v>
      </c>
      <c r="B287" s="38">
        <v>98.2</v>
      </c>
      <c r="C287" s="38" t="s">
        <v>300</v>
      </c>
      <c r="D287" s="38">
        <v>1228.5550390779847</v>
      </c>
      <c r="E287" s="38">
        <v>1128.2672777103105</v>
      </c>
      <c r="F287" s="38">
        <v>287</v>
      </c>
      <c r="G287" s="38">
        <v>3</v>
      </c>
      <c r="H287" s="38">
        <v>139</v>
      </c>
      <c r="I287" s="38"/>
      <c r="J287" s="38"/>
      <c r="K287" s="38"/>
      <c r="L287" s="38"/>
      <c r="M287" s="38"/>
    </row>
    <row r="288" spans="1:13" x14ac:dyDescent="0.25">
      <c r="A288" t="s">
        <v>915</v>
      </c>
      <c r="B288">
        <v>98.84</v>
      </c>
      <c r="C288" t="s">
        <v>301</v>
      </c>
      <c r="D288">
        <v>1236.1921789231403</v>
      </c>
      <c r="E288">
        <v>1135.9044175554661</v>
      </c>
      <c r="F288">
        <v>288</v>
      </c>
      <c r="G288">
        <v>4</v>
      </c>
      <c r="H288">
        <v>140</v>
      </c>
    </row>
    <row r="289" spans="1:13" x14ac:dyDescent="0.25">
      <c r="A289" s="38" t="s">
        <v>916</v>
      </c>
      <c r="B289" s="38">
        <v>98.89</v>
      </c>
      <c r="C289" s="38" t="s">
        <v>302</v>
      </c>
      <c r="D289" s="38">
        <v>1237.2213343231404</v>
      </c>
      <c r="E289" s="38">
        <v>1136.2131641877347</v>
      </c>
      <c r="F289" s="38">
        <v>289</v>
      </c>
      <c r="G289" s="38">
        <v>4</v>
      </c>
      <c r="H289" s="38">
        <v>140</v>
      </c>
      <c r="I289" s="38"/>
      <c r="J289" s="38"/>
      <c r="K289" s="38"/>
      <c r="L289" s="38"/>
      <c r="M289" s="38"/>
    </row>
    <row r="290" spans="1:13" x14ac:dyDescent="0.25">
      <c r="A290" t="s">
        <v>917</v>
      </c>
      <c r="B290">
        <v>99.53</v>
      </c>
      <c r="C290" t="s">
        <v>303</v>
      </c>
      <c r="D290">
        <v>1244.858474168296</v>
      </c>
      <c r="E290">
        <v>1143.8503040328903</v>
      </c>
      <c r="F290">
        <v>290</v>
      </c>
      <c r="G290">
        <v>5</v>
      </c>
      <c r="H290">
        <v>141</v>
      </c>
    </row>
    <row r="291" spans="1:13" x14ac:dyDescent="0.25">
      <c r="A291" s="38" t="s">
        <v>918</v>
      </c>
      <c r="B291" s="38">
        <v>99.59</v>
      </c>
      <c r="C291" s="38" t="s">
        <v>304</v>
      </c>
      <c r="D291" s="38">
        <v>1245.887629568296</v>
      </c>
      <c r="E291" s="38">
        <v>1144.1590506651589</v>
      </c>
      <c r="F291" s="38">
        <v>291</v>
      </c>
      <c r="G291" s="38">
        <v>5</v>
      </c>
      <c r="H291" s="38">
        <v>141</v>
      </c>
      <c r="I291" s="38"/>
      <c r="J291" s="38"/>
      <c r="K291" s="38"/>
      <c r="L291" s="38"/>
      <c r="M291" s="38"/>
    </row>
    <row r="292" spans="1:13" x14ac:dyDescent="0.25">
      <c r="A292" t="s">
        <v>919</v>
      </c>
      <c r="B292">
        <v>100.22</v>
      </c>
      <c r="C292" t="s">
        <v>305</v>
      </c>
      <c r="D292">
        <v>1253.5247694134516</v>
      </c>
      <c r="E292">
        <v>1151.7961905103145</v>
      </c>
      <c r="F292">
        <v>292</v>
      </c>
      <c r="G292">
        <v>6</v>
      </c>
      <c r="H292">
        <v>142</v>
      </c>
    </row>
    <row r="293" spans="1:13" x14ac:dyDescent="0.25">
      <c r="A293" s="38" t="s">
        <v>920</v>
      </c>
      <c r="B293" s="38">
        <v>100.28</v>
      </c>
      <c r="C293" s="38" t="s">
        <v>306</v>
      </c>
      <c r="D293" s="38">
        <v>1254.5539248134517</v>
      </c>
      <c r="E293" s="38">
        <v>1152.1049371425831</v>
      </c>
      <c r="F293" s="38">
        <v>293</v>
      </c>
      <c r="G293" s="38">
        <v>6</v>
      </c>
      <c r="H293" s="38">
        <v>142</v>
      </c>
      <c r="I293" s="38"/>
      <c r="J293" s="38"/>
      <c r="K293" s="38"/>
      <c r="L293" s="38"/>
      <c r="M293" s="38"/>
    </row>
    <row r="294" spans="1:13" x14ac:dyDescent="0.25">
      <c r="A294" t="s">
        <v>921</v>
      </c>
      <c r="B294">
        <v>100.91</v>
      </c>
      <c r="C294" t="s">
        <v>307</v>
      </c>
      <c r="D294">
        <v>1262.1910646586073</v>
      </c>
      <c r="E294">
        <v>1159.7420769877388</v>
      </c>
      <c r="F294">
        <v>294</v>
      </c>
      <c r="G294">
        <v>7</v>
      </c>
      <c r="H294">
        <v>143</v>
      </c>
    </row>
    <row r="295" spans="1:13" x14ac:dyDescent="0.25">
      <c r="A295" s="38" t="s">
        <v>922</v>
      </c>
      <c r="B295" s="38">
        <v>100.97</v>
      </c>
      <c r="C295" s="38" t="s">
        <v>308</v>
      </c>
      <c r="D295" s="38">
        <v>1263.2202200586073</v>
      </c>
      <c r="E295" s="38">
        <v>1160.0508236200073</v>
      </c>
      <c r="F295" s="38">
        <v>295</v>
      </c>
      <c r="G295" s="38">
        <v>7</v>
      </c>
      <c r="H295" s="38">
        <v>143</v>
      </c>
      <c r="I295" s="38"/>
      <c r="J295" s="38"/>
      <c r="K295" s="38"/>
      <c r="L295" s="38"/>
      <c r="M295" s="38"/>
    </row>
    <row r="296" spans="1:13" x14ac:dyDescent="0.25">
      <c r="A296" t="s">
        <v>923</v>
      </c>
      <c r="B296">
        <v>101.61</v>
      </c>
      <c r="C296" t="s">
        <v>309</v>
      </c>
      <c r="D296">
        <v>1270.8573599037629</v>
      </c>
      <c r="E296">
        <v>1167.687963465163</v>
      </c>
      <c r="F296">
        <v>296</v>
      </c>
      <c r="G296">
        <v>8</v>
      </c>
      <c r="H296">
        <v>144</v>
      </c>
    </row>
    <row r="297" spans="1:13" x14ac:dyDescent="0.25">
      <c r="A297" s="38" t="s">
        <v>924</v>
      </c>
      <c r="B297" s="38">
        <v>101.66</v>
      </c>
      <c r="C297" s="38" t="s">
        <v>310</v>
      </c>
      <c r="D297" s="38">
        <v>1271.886515303763</v>
      </c>
      <c r="E297" s="38">
        <v>1167.9967100974316</v>
      </c>
      <c r="F297" s="38">
        <v>297</v>
      </c>
      <c r="G297" s="38">
        <v>8</v>
      </c>
      <c r="H297" s="38">
        <v>144</v>
      </c>
      <c r="I297" s="38"/>
      <c r="J297" s="38"/>
      <c r="K297" s="38"/>
      <c r="L297" s="38"/>
      <c r="M297" s="38"/>
    </row>
    <row r="298" spans="1:13" x14ac:dyDescent="0.25">
      <c r="A298" t="s">
        <v>925</v>
      </c>
      <c r="B298">
        <v>102.3</v>
      </c>
      <c r="C298" t="s">
        <v>311</v>
      </c>
      <c r="D298">
        <v>1279.5236551489186</v>
      </c>
      <c r="E298">
        <v>1175.6338499425872</v>
      </c>
      <c r="F298">
        <v>298</v>
      </c>
      <c r="G298">
        <v>9</v>
      </c>
      <c r="H298">
        <v>145</v>
      </c>
    </row>
    <row r="299" spans="1:13" x14ac:dyDescent="0.25">
      <c r="A299" s="38" t="s">
        <v>926</v>
      </c>
      <c r="B299" s="38">
        <v>102.35</v>
      </c>
      <c r="C299" s="38" t="s">
        <v>312</v>
      </c>
      <c r="D299" s="38">
        <v>1280.5528105489186</v>
      </c>
      <c r="E299" s="38">
        <v>1175.9425965748558</v>
      </c>
      <c r="F299" s="38">
        <v>299</v>
      </c>
      <c r="G299" s="38">
        <v>9</v>
      </c>
      <c r="H299" s="38">
        <v>145</v>
      </c>
      <c r="I299" s="38"/>
      <c r="J299" s="38"/>
      <c r="K299" s="38"/>
      <c r="L299" s="38"/>
      <c r="M299" s="38"/>
    </row>
    <row r="300" spans="1:13" x14ac:dyDescent="0.25">
      <c r="A300" t="s">
        <v>927</v>
      </c>
      <c r="B300">
        <v>102.99</v>
      </c>
      <c r="C300" t="s">
        <v>313</v>
      </c>
      <c r="D300">
        <v>1288.1899503940742</v>
      </c>
      <c r="E300">
        <v>1183.5797364200114</v>
      </c>
      <c r="F300">
        <v>300</v>
      </c>
      <c r="G300">
        <v>10</v>
      </c>
      <c r="H300">
        <v>146</v>
      </c>
    </row>
    <row r="301" spans="1:13" x14ac:dyDescent="0.25">
      <c r="A301" s="38" t="s">
        <v>928</v>
      </c>
      <c r="B301" s="38">
        <v>103.05</v>
      </c>
      <c r="C301" s="38" t="s">
        <v>314</v>
      </c>
      <c r="D301" s="38">
        <v>1289.2191057940743</v>
      </c>
      <c r="E301" s="38">
        <v>1183.88848305228</v>
      </c>
      <c r="F301" s="38">
        <v>301</v>
      </c>
      <c r="G301" s="38">
        <v>10</v>
      </c>
      <c r="H301" s="38">
        <v>146</v>
      </c>
      <c r="I301" s="38"/>
      <c r="J301" s="38"/>
      <c r="K301" s="38"/>
      <c r="L301" s="38"/>
      <c r="M301" s="38"/>
    </row>
    <row r="302" spans="1:13" x14ac:dyDescent="0.25">
      <c r="A302" t="s">
        <v>929</v>
      </c>
      <c r="B302">
        <v>103.68</v>
      </c>
      <c r="C302" t="s">
        <v>315</v>
      </c>
      <c r="D302">
        <v>1296.8562456392299</v>
      </c>
      <c r="E302">
        <v>1191.5256228974356</v>
      </c>
      <c r="F302">
        <v>302</v>
      </c>
      <c r="G302">
        <v>11</v>
      </c>
      <c r="H302">
        <v>147</v>
      </c>
    </row>
    <row r="303" spans="1:13" x14ac:dyDescent="0.25">
      <c r="A303" s="38" t="s">
        <v>930</v>
      </c>
      <c r="B303" s="38">
        <v>103.74</v>
      </c>
      <c r="C303" s="38" t="s">
        <v>316</v>
      </c>
      <c r="D303" s="38">
        <v>1297.8854010392299</v>
      </c>
      <c r="E303" s="38">
        <v>1191.8343695297042</v>
      </c>
      <c r="F303" s="38">
        <v>303</v>
      </c>
      <c r="G303" s="38">
        <v>11</v>
      </c>
      <c r="H303" s="38">
        <v>147</v>
      </c>
      <c r="I303" s="38"/>
      <c r="J303" s="38"/>
      <c r="K303" s="38"/>
      <c r="L303" s="38"/>
      <c r="M303" s="38"/>
    </row>
    <row r="304" spans="1:13" x14ac:dyDescent="0.25">
      <c r="A304" t="s">
        <v>931</v>
      </c>
      <c r="B304">
        <v>104.37</v>
      </c>
      <c r="C304" t="s">
        <v>317</v>
      </c>
      <c r="D304">
        <v>1305.5225408843855</v>
      </c>
      <c r="E304">
        <v>1199.4715093748598</v>
      </c>
      <c r="F304">
        <v>304</v>
      </c>
      <c r="G304">
        <v>12</v>
      </c>
      <c r="H304">
        <v>148</v>
      </c>
    </row>
    <row r="305" spans="1:13" x14ac:dyDescent="0.25">
      <c r="A305" s="38" t="s">
        <v>932</v>
      </c>
      <c r="B305" s="38">
        <v>104.43</v>
      </c>
      <c r="C305" s="38" t="s">
        <v>318</v>
      </c>
      <c r="D305" s="38">
        <v>1306.5516962843856</v>
      </c>
      <c r="E305" s="38">
        <v>1199.7802560071284</v>
      </c>
      <c r="F305" s="38">
        <v>305</v>
      </c>
      <c r="G305" s="38">
        <v>12</v>
      </c>
      <c r="H305" s="38">
        <v>148</v>
      </c>
      <c r="I305" s="38"/>
      <c r="J305" s="38"/>
      <c r="K305" s="38"/>
      <c r="L305" s="38"/>
      <c r="M305" s="38"/>
    </row>
    <row r="306" spans="1:13" x14ac:dyDescent="0.25">
      <c r="A306" t="s">
        <v>933</v>
      </c>
      <c r="B306">
        <v>105.07</v>
      </c>
      <c r="C306" t="s">
        <v>319</v>
      </c>
      <c r="D306">
        <v>1314.1888361295412</v>
      </c>
      <c r="E306">
        <v>1207.417395852284</v>
      </c>
      <c r="F306">
        <v>306</v>
      </c>
      <c r="G306">
        <v>13</v>
      </c>
      <c r="H306">
        <v>149</v>
      </c>
    </row>
    <row r="307" spans="1:13" x14ac:dyDescent="0.25">
      <c r="A307" s="38" t="s">
        <v>934</v>
      </c>
      <c r="B307" s="38">
        <v>105.12</v>
      </c>
      <c r="C307" s="38" t="s">
        <v>320</v>
      </c>
      <c r="D307" s="38">
        <v>1315.2179915295412</v>
      </c>
      <c r="E307" s="38">
        <v>1207.7261424845526</v>
      </c>
      <c r="F307" s="38">
        <v>307</v>
      </c>
      <c r="G307" s="38">
        <v>13</v>
      </c>
      <c r="H307" s="38">
        <v>149</v>
      </c>
      <c r="I307" s="38"/>
      <c r="J307" s="38"/>
      <c r="K307" s="38"/>
      <c r="L307" s="38"/>
      <c r="M307" s="38"/>
    </row>
    <row r="308" spans="1:13" x14ac:dyDescent="0.25">
      <c r="A308" t="s">
        <v>935</v>
      </c>
      <c r="B308">
        <v>105.76</v>
      </c>
      <c r="C308" t="s">
        <v>321</v>
      </c>
      <c r="D308">
        <v>1322.8551313746968</v>
      </c>
      <c r="E308">
        <v>1215.3632823297082</v>
      </c>
      <c r="F308">
        <v>308</v>
      </c>
      <c r="G308">
        <v>14</v>
      </c>
      <c r="H308">
        <v>150</v>
      </c>
    </row>
    <row r="309" spans="1:13" x14ac:dyDescent="0.25">
      <c r="A309" s="38" t="s">
        <v>936</v>
      </c>
      <c r="B309" s="38">
        <v>105.81</v>
      </c>
      <c r="C309" s="38" t="s">
        <v>322</v>
      </c>
      <c r="D309" s="38">
        <v>1323.8842867746969</v>
      </c>
      <c r="E309" s="38">
        <v>1215.6720289619768</v>
      </c>
      <c r="F309" s="38">
        <v>309</v>
      </c>
      <c r="G309" s="38">
        <v>14</v>
      </c>
      <c r="H309" s="38">
        <v>150</v>
      </c>
      <c r="I309" s="38"/>
      <c r="J309" s="38"/>
      <c r="K309" s="38"/>
      <c r="L309" s="38"/>
      <c r="M309" s="38"/>
    </row>
    <row r="310" spans="1:13" x14ac:dyDescent="0.25">
      <c r="A310" t="s">
        <v>937</v>
      </c>
      <c r="B310">
        <v>106.45</v>
      </c>
      <c r="C310" t="s">
        <v>323</v>
      </c>
      <c r="D310">
        <v>1331.5214266198525</v>
      </c>
      <c r="E310">
        <v>1223.3091688071324</v>
      </c>
      <c r="F310">
        <v>310</v>
      </c>
      <c r="G310">
        <v>15</v>
      </c>
      <c r="H310">
        <v>151</v>
      </c>
    </row>
    <row r="311" spans="1:13" x14ac:dyDescent="0.25">
      <c r="A311" s="38" t="s">
        <v>938</v>
      </c>
      <c r="B311" s="38">
        <v>106.51</v>
      </c>
      <c r="C311" s="38" t="s">
        <v>324</v>
      </c>
      <c r="D311" s="38">
        <v>1332.5505820198525</v>
      </c>
      <c r="E311" s="38">
        <v>1223.617915439401</v>
      </c>
      <c r="F311" s="38">
        <v>311</v>
      </c>
      <c r="G311" s="38">
        <v>15</v>
      </c>
      <c r="H311" s="38">
        <v>151</v>
      </c>
      <c r="I311" s="38"/>
      <c r="J311" s="38"/>
      <c r="K311" s="38"/>
      <c r="L311" s="38"/>
      <c r="M311" s="38"/>
    </row>
    <row r="312" spans="1:13" x14ac:dyDescent="0.25">
      <c r="A312" t="s">
        <v>939</v>
      </c>
      <c r="B312">
        <v>107.14</v>
      </c>
      <c r="C312" t="s">
        <v>325</v>
      </c>
      <c r="D312">
        <v>1340.1877218650081</v>
      </c>
      <c r="E312">
        <v>1231.2550552845566</v>
      </c>
      <c r="F312">
        <v>312</v>
      </c>
      <c r="G312">
        <v>16</v>
      </c>
      <c r="H312">
        <v>152</v>
      </c>
    </row>
    <row r="313" spans="1:13" x14ac:dyDescent="0.25">
      <c r="A313" s="38" t="s">
        <v>940</v>
      </c>
      <c r="B313" s="38">
        <v>107.2</v>
      </c>
      <c r="C313" s="38" t="s">
        <v>326</v>
      </c>
      <c r="D313" s="38">
        <v>1341.2168772650082</v>
      </c>
      <c r="E313" s="38">
        <v>1231.5638019168252</v>
      </c>
      <c r="F313" s="38">
        <v>313</v>
      </c>
      <c r="G313" s="38">
        <v>16</v>
      </c>
      <c r="H313" s="38">
        <v>152</v>
      </c>
      <c r="I313" s="38"/>
      <c r="J313" s="38"/>
      <c r="K313" s="38"/>
      <c r="L313" s="38"/>
      <c r="M313" s="38"/>
    </row>
    <row r="314" spans="1:13" x14ac:dyDescent="0.25">
      <c r="A314" t="s">
        <v>941</v>
      </c>
      <c r="B314">
        <v>107.84</v>
      </c>
      <c r="C314" t="s">
        <v>327</v>
      </c>
      <c r="D314">
        <v>1348.8540171101638</v>
      </c>
      <c r="E314">
        <v>1239.2009417619809</v>
      </c>
      <c r="F314">
        <v>314</v>
      </c>
      <c r="G314">
        <v>17</v>
      </c>
      <c r="H314">
        <v>153</v>
      </c>
    </row>
    <row r="315" spans="1:13" x14ac:dyDescent="0.25">
      <c r="A315" s="39" t="s">
        <v>942</v>
      </c>
      <c r="B315" s="39">
        <v>108.14</v>
      </c>
      <c r="C315" s="39" t="s">
        <v>328</v>
      </c>
      <c r="D315" s="39">
        <v>1352.8831725101638</v>
      </c>
      <c r="E315" s="39">
        <v>1242.5096883942495</v>
      </c>
      <c r="F315" s="39">
        <v>315</v>
      </c>
      <c r="G315" s="39">
        <v>17</v>
      </c>
      <c r="H315" s="39">
        <v>153</v>
      </c>
      <c r="I315" s="39"/>
      <c r="J315" s="39"/>
      <c r="K315" s="39"/>
      <c r="L315" s="39"/>
      <c r="M315" s="39"/>
    </row>
    <row r="316" spans="1:13" x14ac:dyDescent="0.25">
      <c r="A316" t="s">
        <v>943</v>
      </c>
      <c r="B316">
        <v>108.78</v>
      </c>
      <c r="C316" t="s">
        <v>329</v>
      </c>
      <c r="D316">
        <v>1360.5203123553194</v>
      </c>
      <c r="E316">
        <v>1250.1468282394051</v>
      </c>
      <c r="F316">
        <v>316</v>
      </c>
      <c r="G316">
        <v>1</v>
      </c>
      <c r="H316">
        <v>154</v>
      </c>
    </row>
    <row r="317" spans="1:13" x14ac:dyDescent="0.25">
      <c r="A317" s="38" t="s">
        <v>944</v>
      </c>
      <c r="B317" s="38">
        <v>108.83</v>
      </c>
      <c r="C317" s="38" t="s">
        <v>330</v>
      </c>
      <c r="D317" s="38">
        <v>1361.5494677553195</v>
      </c>
      <c r="E317" s="38">
        <v>1250.4555748716737</v>
      </c>
      <c r="F317" s="38">
        <v>317</v>
      </c>
      <c r="G317" s="38">
        <v>1</v>
      </c>
      <c r="H317" s="38">
        <v>154</v>
      </c>
      <c r="I317" s="38"/>
      <c r="J317" s="38"/>
      <c r="K317" s="38"/>
      <c r="L317" s="38"/>
      <c r="M317" s="38"/>
    </row>
    <row r="318" spans="1:13" x14ac:dyDescent="0.25">
      <c r="A318" t="s">
        <v>945</v>
      </c>
      <c r="B318">
        <v>109.47</v>
      </c>
      <c r="C318" t="s">
        <v>331</v>
      </c>
      <c r="D318">
        <v>1369.1866076004751</v>
      </c>
      <c r="E318">
        <v>1258.0927147168293</v>
      </c>
      <c r="F318">
        <v>318</v>
      </c>
      <c r="G318">
        <v>2</v>
      </c>
      <c r="H318">
        <v>155</v>
      </c>
    </row>
    <row r="319" spans="1:13" x14ac:dyDescent="0.25">
      <c r="A319" s="38" t="s">
        <v>946</v>
      </c>
      <c r="B319" s="38">
        <v>109.53</v>
      </c>
      <c r="C319" s="38" t="s">
        <v>332</v>
      </c>
      <c r="D319" s="38">
        <v>1370.2157630004751</v>
      </c>
      <c r="E319" s="38">
        <v>1258.4014613490979</v>
      </c>
      <c r="F319" s="38">
        <v>319</v>
      </c>
      <c r="G319" s="38">
        <v>2</v>
      </c>
      <c r="H319" s="38">
        <v>155</v>
      </c>
      <c r="I319" s="38"/>
      <c r="J319" s="38"/>
      <c r="K319" s="38"/>
      <c r="L319" s="38"/>
      <c r="M319" s="38"/>
    </row>
    <row r="320" spans="1:13" x14ac:dyDescent="0.25">
      <c r="A320" t="s">
        <v>947</v>
      </c>
      <c r="B320">
        <v>110.16</v>
      </c>
      <c r="C320" t="s">
        <v>333</v>
      </c>
      <c r="D320">
        <v>1377.8529028456308</v>
      </c>
      <c r="E320">
        <v>1266.0386011942535</v>
      </c>
      <c r="F320">
        <v>320</v>
      </c>
      <c r="G320">
        <v>3</v>
      </c>
      <c r="H320">
        <v>156</v>
      </c>
    </row>
    <row r="321" spans="1:13" x14ac:dyDescent="0.25">
      <c r="A321" s="38" t="s">
        <v>948</v>
      </c>
      <c r="B321" s="38">
        <v>110.22</v>
      </c>
      <c r="C321" s="38" t="s">
        <v>334</v>
      </c>
      <c r="D321" s="38">
        <v>1378.8820582456308</v>
      </c>
      <c r="E321" s="38">
        <v>1266.3473478265221</v>
      </c>
      <c r="F321" s="38">
        <v>321</v>
      </c>
      <c r="G321" s="38">
        <v>3</v>
      </c>
      <c r="H321" s="38">
        <v>156</v>
      </c>
      <c r="I321" s="38"/>
      <c r="J321" s="38"/>
      <c r="K321" s="38"/>
      <c r="L321" s="38"/>
      <c r="M321" s="38"/>
    </row>
    <row r="322" spans="1:13" x14ac:dyDescent="0.25">
      <c r="A322" t="s">
        <v>949</v>
      </c>
      <c r="B322">
        <v>110.85</v>
      </c>
      <c r="C322" t="s">
        <v>335</v>
      </c>
      <c r="D322">
        <v>1386.5191980907864</v>
      </c>
      <c r="E322">
        <v>1273.9844876716777</v>
      </c>
      <c r="F322">
        <v>322</v>
      </c>
      <c r="G322">
        <v>4</v>
      </c>
      <c r="H322">
        <v>157</v>
      </c>
    </row>
    <row r="323" spans="1:13" x14ac:dyDescent="0.25">
      <c r="A323" s="38" t="s">
        <v>950</v>
      </c>
      <c r="B323" s="38">
        <v>110.91</v>
      </c>
      <c r="C323" s="38" t="s">
        <v>336</v>
      </c>
      <c r="D323" s="38">
        <v>1387.5483534907864</v>
      </c>
      <c r="E323" s="38">
        <v>1274.2932343039463</v>
      </c>
      <c r="F323" s="38">
        <v>323</v>
      </c>
      <c r="G323" s="38">
        <v>4</v>
      </c>
      <c r="H323" s="38">
        <v>157</v>
      </c>
      <c r="I323" s="38"/>
      <c r="J323" s="38"/>
      <c r="K323" s="38"/>
      <c r="L323" s="38"/>
      <c r="M323" s="38"/>
    </row>
    <row r="324" spans="1:13" x14ac:dyDescent="0.25">
      <c r="A324" t="s">
        <v>951</v>
      </c>
      <c r="B324">
        <v>111.55</v>
      </c>
      <c r="C324" t="s">
        <v>337</v>
      </c>
      <c r="D324">
        <v>1395.1854933359421</v>
      </c>
      <c r="E324">
        <v>1281.9303741491019</v>
      </c>
      <c r="F324">
        <v>324</v>
      </c>
      <c r="G324">
        <v>5</v>
      </c>
      <c r="H324">
        <v>158</v>
      </c>
    </row>
    <row r="325" spans="1:13" x14ac:dyDescent="0.25">
      <c r="A325" s="38" t="s">
        <v>952</v>
      </c>
      <c r="B325" s="38">
        <v>111.6</v>
      </c>
      <c r="C325" s="38" t="s">
        <v>338</v>
      </c>
      <c r="D325" s="38">
        <v>1396.2146487359421</v>
      </c>
      <c r="E325" s="38">
        <v>1282.2391207813705</v>
      </c>
      <c r="F325" s="38">
        <v>325</v>
      </c>
      <c r="G325" s="38">
        <v>5</v>
      </c>
      <c r="H325" s="38">
        <v>158</v>
      </c>
      <c r="I325" s="38"/>
      <c r="J325" s="38"/>
      <c r="K325" s="38"/>
      <c r="L325" s="38"/>
      <c r="M325" s="38"/>
    </row>
    <row r="326" spans="1:13" x14ac:dyDescent="0.25">
      <c r="A326" t="s">
        <v>953</v>
      </c>
      <c r="B326">
        <v>112.24</v>
      </c>
      <c r="C326" t="s">
        <v>339</v>
      </c>
      <c r="D326">
        <v>1403.8517885810977</v>
      </c>
      <c r="E326">
        <v>1289.8762606265261</v>
      </c>
      <c r="F326">
        <v>326</v>
      </c>
      <c r="G326">
        <v>6</v>
      </c>
      <c r="H326">
        <v>159</v>
      </c>
    </row>
    <row r="327" spans="1:13" x14ac:dyDescent="0.25">
      <c r="A327" s="38" t="s">
        <v>954</v>
      </c>
      <c r="B327" s="38">
        <v>112.29</v>
      </c>
      <c r="C327" s="38" t="s">
        <v>340</v>
      </c>
      <c r="D327" s="38">
        <v>1404.8809439810977</v>
      </c>
      <c r="E327" s="38">
        <v>1290.1850072587947</v>
      </c>
      <c r="F327" s="38">
        <v>327</v>
      </c>
      <c r="G327" s="38">
        <v>6</v>
      </c>
      <c r="H327" s="38">
        <v>159</v>
      </c>
      <c r="I327" s="38"/>
      <c r="J327" s="38"/>
      <c r="K327" s="38"/>
      <c r="L327" s="38"/>
      <c r="M327" s="38"/>
    </row>
    <row r="328" spans="1:13" x14ac:dyDescent="0.25">
      <c r="A328" t="s">
        <v>955</v>
      </c>
      <c r="B328">
        <v>112.93</v>
      </c>
      <c r="C328" t="s">
        <v>341</v>
      </c>
      <c r="D328">
        <v>1412.5180838262534</v>
      </c>
      <c r="E328">
        <v>1297.8221471039503</v>
      </c>
      <c r="F328">
        <v>328</v>
      </c>
      <c r="G328">
        <v>7</v>
      </c>
      <c r="H328">
        <v>160</v>
      </c>
    </row>
    <row r="329" spans="1:13" x14ac:dyDescent="0.25">
      <c r="A329" s="38" t="s">
        <v>956</v>
      </c>
      <c r="B329" s="38">
        <v>112.99</v>
      </c>
      <c r="C329" s="38" t="s">
        <v>342</v>
      </c>
      <c r="D329" s="38">
        <v>1413.5472392262534</v>
      </c>
      <c r="E329" s="38">
        <v>1298.1308937362189</v>
      </c>
      <c r="F329" s="38">
        <v>329</v>
      </c>
      <c r="G329" s="38">
        <v>7</v>
      </c>
      <c r="H329" s="38">
        <v>160</v>
      </c>
      <c r="I329" s="38"/>
      <c r="J329" s="38"/>
      <c r="K329" s="38"/>
      <c r="L329" s="38"/>
      <c r="M329" s="38"/>
    </row>
    <row r="330" spans="1:13" x14ac:dyDescent="0.25">
      <c r="A330" t="s">
        <v>957</v>
      </c>
      <c r="B330">
        <v>113.62</v>
      </c>
      <c r="C330" t="s">
        <v>343</v>
      </c>
      <c r="D330">
        <v>1421.184379071409</v>
      </c>
      <c r="E330">
        <v>1305.7680335813745</v>
      </c>
      <c r="F330">
        <v>330</v>
      </c>
      <c r="G330">
        <v>8</v>
      </c>
      <c r="H330">
        <v>161</v>
      </c>
    </row>
    <row r="331" spans="1:13" x14ac:dyDescent="0.25">
      <c r="A331" s="38" t="s">
        <v>958</v>
      </c>
      <c r="B331" s="38">
        <v>113.68</v>
      </c>
      <c r="C331" s="38" t="s">
        <v>344</v>
      </c>
      <c r="D331" s="38">
        <v>1422.213534471409</v>
      </c>
      <c r="E331" s="38">
        <v>1306.0767802136431</v>
      </c>
      <c r="F331" s="38">
        <v>331</v>
      </c>
      <c r="G331" s="38">
        <v>8</v>
      </c>
      <c r="H331" s="38">
        <v>161</v>
      </c>
      <c r="I331" s="38"/>
      <c r="J331" s="38"/>
      <c r="K331" s="38"/>
      <c r="L331" s="38"/>
      <c r="M331" s="38"/>
    </row>
    <row r="332" spans="1:13" x14ac:dyDescent="0.25">
      <c r="A332" t="s">
        <v>959</v>
      </c>
      <c r="B332">
        <v>114.32</v>
      </c>
      <c r="C332" t="s">
        <v>345</v>
      </c>
      <c r="D332">
        <v>1429.8506743165647</v>
      </c>
      <c r="E332">
        <v>1313.7139200587987</v>
      </c>
      <c r="F332">
        <v>332</v>
      </c>
      <c r="G332">
        <v>9</v>
      </c>
      <c r="H332">
        <v>162</v>
      </c>
    </row>
    <row r="333" spans="1:13" x14ac:dyDescent="0.25">
      <c r="A333" s="38" t="s">
        <v>960</v>
      </c>
      <c r="B333" s="38">
        <v>114.37</v>
      </c>
      <c r="C333" s="38" t="s">
        <v>346</v>
      </c>
      <c r="D333" s="38">
        <v>1430.8798297165647</v>
      </c>
      <c r="E333" s="38">
        <v>1314.0226666910673</v>
      </c>
      <c r="F333" s="38">
        <v>333</v>
      </c>
      <c r="G333" s="38">
        <v>9</v>
      </c>
      <c r="H333" s="38">
        <v>162</v>
      </c>
      <c r="I333" s="38"/>
      <c r="J333" s="38"/>
      <c r="K333" s="38"/>
      <c r="L333" s="38"/>
      <c r="M333" s="38"/>
    </row>
    <row r="334" spans="1:13" x14ac:dyDescent="0.25">
      <c r="A334" t="s">
        <v>961</v>
      </c>
      <c r="B334">
        <v>115.01</v>
      </c>
      <c r="C334" t="s">
        <v>347</v>
      </c>
      <c r="D334">
        <v>1438.5169695617203</v>
      </c>
      <c r="E334">
        <v>1321.659806536223</v>
      </c>
      <c r="F334">
        <v>334</v>
      </c>
      <c r="G334">
        <v>10</v>
      </c>
      <c r="H334">
        <v>163</v>
      </c>
    </row>
    <row r="335" spans="1:13" x14ac:dyDescent="0.25">
      <c r="A335" s="38" t="s">
        <v>962</v>
      </c>
      <c r="B335" s="38">
        <v>115.06</v>
      </c>
      <c r="C335" s="38" t="s">
        <v>348</v>
      </c>
      <c r="D335" s="38">
        <v>1439.5461249617204</v>
      </c>
      <c r="E335" s="38">
        <v>1321.9685531684916</v>
      </c>
      <c r="F335" s="38">
        <v>335</v>
      </c>
      <c r="G335" s="38">
        <v>10</v>
      </c>
      <c r="H335" s="38">
        <v>163</v>
      </c>
      <c r="I335" s="38"/>
      <c r="J335" s="38"/>
      <c r="K335" s="38"/>
      <c r="L335" s="38"/>
      <c r="M335" s="38"/>
    </row>
    <row r="336" spans="1:13" x14ac:dyDescent="0.25">
      <c r="A336" t="s">
        <v>963</v>
      </c>
      <c r="B336">
        <v>115.7</v>
      </c>
      <c r="C336" t="s">
        <v>349</v>
      </c>
      <c r="D336">
        <v>1447.183264806876</v>
      </c>
      <c r="E336">
        <v>1329.6056930136472</v>
      </c>
      <c r="F336">
        <v>336</v>
      </c>
      <c r="G336">
        <v>11</v>
      </c>
      <c r="H336">
        <v>164</v>
      </c>
    </row>
    <row r="337" spans="1:13" x14ac:dyDescent="0.25">
      <c r="A337" s="38" t="s">
        <v>964</v>
      </c>
      <c r="B337" s="38">
        <v>115.76</v>
      </c>
      <c r="C337" s="38" t="s">
        <v>350</v>
      </c>
      <c r="D337" s="38">
        <v>1448.212420206876</v>
      </c>
      <c r="E337" s="38">
        <v>1329.9144396459158</v>
      </c>
      <c r="F337" s="38">
        <v>337</v>
      </c>
      <c r="G337" s="38">
        <v>11</v>
      </c>
      <c r="H337" s="38">
        <v>164</v>
      </c>
      <c r="I337" s="38"/>
      <c r="J337" s="38"/>
      <c r="K337" s="38"/>
      <c r="L337" s="38"/>
      <c r="M337" s="38"/>
    </row>
    <row r="338" spans="1:13" x14ac:dyDescent="0.25">
      <c r="A338" t="s">
        <v>965</v>
      </c>
      <c r="B338">
        <v>116.39</v>
      </c>
      <c r="C338" t="s">
        <v>351</v>
      </c>
      <c r="D338">
        <v>1455.8495600520316</v>
      </c>
      <c r="E338">
        <v>1337.5515794910714</v>
      </c>
      <c r="F338">
        <v>338</v>
      </c>
      <c r="G338">
        <v>12</v>
      </c>
      <c r="H338">
        <v>165</v>
      </c>
    </row>
    <row r="339" spans="1:13" x14ac:dyDescent="0.25">
      <c r="A339" s="38" t="s">
        <v>966</v>
      </c>
      <c r="B339" s="38">
        <v>116.45</v>
      </c>
      <c r="C339" s="38" t="s">
        <v>352</v>
      </c>
      <c r="D339" s="38">
        <v>1456.8787154520317</v>
      </c>
      <c r="E339" s="38">
        <v>1337.86032612334</v>
      </c>
      <c r="F339" s="38">
        <v>339</v>
      </c>
      <c r="G339" s="38">
        <v>12</v>
      </c>
      <c r="H339" s="38">
        <v>165</v>
      </c>
      <c r="I339" s="38"/>
      <c r="J339" s="38"/>
      <c r="K339" s="38"/>
      <c r="L339" s="38"/>
      <c r="M339" s="38"/>
    </row>
    <row r="340" spans="1:13" x14ac:dyDescent="0.25">
      <c r="A340" t="s">
        <v>967</v>
      </c>
      <c r="B340">
        <v>117.08</v>
      </c>
      <c r="C340" t="s">
        <v>353</v>
      </c>
      <c r="D340">
        <v>1464.5158552971873</v>
      </c>
      <c r="E340">
        <v>1345.4974659684956</v>
      </c>
      <c r="F340">
        <v>340</v>
      </c>
      <c r="G340">
        <v>13</v>
      </c>
      <c r="H340">
        <v>166</v>
      </c>
    </row>
    <row r="341" spans="1:13" x14ac:dyDescent="0.25">
      <c r="A341" s="38" t="s">
        <v>968</v>
      </c>
      <c r="B341" s="38">
        <v>117.14</v>
      </c>
      <c r="C341" s="38" t="s">
        <v>354</v>
      </c>
      <c r="D341" s="38">
        <v>1465.5450106971873</v>
      </c>
      <c r="E341" s="38">
        <v>1345.8062126007642</v>
      </c>
      <c r="F341" s="38">
        <v>341</v>
      </c>
      <c r="G341" s="38">
        <v>13</v>
      </c>
      <c r="H341" s="38">
        <v>166</v>
      </c>
      <c r="I341" s="38"/>
      <c r="J341" s="38"/>
      <c r="K341" s="38"/>
      <c r="L341" s="38"/>
      <c r="M341" s="38"/>
    </row>
    <row r="342" spans="1:13" x14ac:dyDescent="0.25">
      <c r="A342" t="s">
        <v>969</v>
      </c>
      <c r="B342">
        <v>117.78</v>
      </c>
      <c r="C342" t="s">
        <v>355</v>
      </c>
      <c r="D342">
        <v>1473.1821505423429</v>
      </c>
      <c r="E342">
        <v>1353.4433524459198</v>
      </c>
      <c r="F342">
        <v>342</v>
      </c>
      <c r="G342">
        <v>14</v>
      </c>
      <c r="H342">
        <v>167</v>
      </c>
    </row>
    <row r="343" spans="1:13" x14ac:dyDescent="0.25">
      <c r="A343" s="38" t="s">
        <v>970</v>
      </c>
      <c r="B343" s="38">
        <v>117.83</v>
      </c>
      <c r="C343" s="38" t="s">
        <v>356</v>
      </c>
      <c r="D343" s="38">
        <v>1474.211305942343</v>
      </c>
      <c r="E343" s="38">
        <v>1353.7520990781884</v>
      </c>
      <c r="F343" s="38">
        <v>343</v>
      </c>
      <c r="G343" s="38">
        <v>14</v>
      </c>
      <c r="H343" s="38">
        <v>167</v>
      </c>
      <c r="I343" s="38"/>
      <c r="J343" s="38"/>
      <c r="K343" s="38"/>
      <c r="L343" s="38"/>
      <c r="M343" s="38"/>
    </row>
    <row r="344" spans="1:13" x14ac:dyDescent="0.25">
      <c r="A344" t="s">
        <v>971</v>
      </c>
      <c r="B344">
        <v>118.47</v>
      </c>
      <c r="C344" t="s">
        <v>357</v>
      </c>
      <c r="D344">
        <v>1481.8484457874986</v>
      </c>
      <c r="E344">
        <v>1361.389238923344</v>
      </c>
      <c r="F344">
        <v>344</v>
      </c>
      <c r="G344">
        <v>15</v>
      </c>
      <c r="H344">
        <v>168</v>
      </c>
    </row>
    <row r="345" spans="1:13" x14ac:dyDescent="0.25">
      <c r="A345" s="38" t="s">
        <v>972</v>
      </c>
      <c r="B345" s="38">
        <v>118.52</v>
      </c>
      <c r="C345" s="38" t="s">
        <v>358</v>
      </c>
      <c r="D345" s="38">
        <v>1482.8776011874986</v>
      </c>
      <c r="E345" s="38">
        <v>1361.6979855556126</v>
      </c>
      <c r="F345" s="38">
        <v>345</v>
      </c>
      <c r="G345" s="38">
        <v>15</v>
      </c>
      <c r="H345" s="38">
        <v>168</v>
      </c>
      <c r="I345" s="38"/>
      <c r="J345" s="38"/>
      <c r="K345" s="38"/>
      <c r="L345" s="38"/>
      <c r="M345" s="38"/>
    </row>
    <row r="346" spans="1:13" x14ac:dyDescent="0.25">
      <c r="A346" t="s">
        <v>973</v>
      </c>
      <c r="B346">
        <v>119.16</v>
      </c>
      <c r="C346" t="s">
        <v>359</v>
      </c>
      <c r="D346">
        <v>1490.5147410326542</v>
      </c>
      <c r="E346">
        <v>1369.3351254007682</v>
      </c>
      <c r="F346">
        <v>346</v>
      </c>
      <c r="G346">
        <v>16</v>
      </c>
      <c r="H346">
        <v>169</v>
      </c>
    </row>
    <row r="347" spans="1:13" x14ac:dyDescent="0.25">
      <c r="A347" s="38" t="s">
        <v>974</v>
      </c>
      <c r="B347" s="38">
        <v>119.22</v>
      </c>
      <c r="C347" s="38" t="s">
        <v>360</v>
      </c>
      <c r="D347" s="38">
        <v>1491.5438964326543</v>
      </c>
      <c r="E347" s="38">
        <v>1369.6438720330368</v>
      </c>
      <c r="F347" s="38">
        <v>347</v>
      </c>
      <c r="G347" s="38">
        <v>16</v>
      </c>
      <c r="H347" s="38">
        <v>169</v>
      </c>
      <c r="I347" s="38"/>
      <c r="J347" s="38"/>
      <c r="K347" s="38"/>
      <c r="L347" s="38"/>
      <c r="M347" s="38"/>
    </row>
    <row r="348" spans="1:13" x14ac:dyDescent="0.25">
      <c r="A348" t="s">
        <v>975</v>
      </c>
      <c r="B348">
        <v>119.85</v>
      </c>
      <c r="C348" t="s">
        <v>361</v>
      </c>
      <c r="D348">
        <v>1499.1810362778099</v>
      </c>
      <c r="E348">
        <v>1377.2810118781924</v>
      </c>
      <c r="F348">
        <v>348</v>
      </c>
      <c r="G348">
        <v>17</v>
      </c>
      <c r="H348">
        <v>170</v>
      </c>
    </row>
    <row r="349" spans="1:13" x14ac:dyDescent="0.25">
      <c r="A349" s="39" t="s">
        <v>976</v>
      </c>
      <c r="B349" s="39">
        <v>120.16</v>
      </c>
      <c r="C349" s="39" t="s">
        <v>362</v>
      </c>
      <c r="D349" s="39">
        <v>1503.2101916778099</v>
      </c>
      <c r="E349" s="39">
        <v>1380.589758510461</v>
      </c>
      <c r="F349" s="39">
        <v>349</v>
      </c>
      <c r="G349" s="39">
        <v>17</v>
      </c>
      <c r="H349" s="39">
        <v>170</v>
      </c>
      <c r="I349" s="39"/>
      <c r="J349" s="39"/>
      <c r="K349" s="39"/>
      <c r="L349" s="39"/>
      <c r="M349" s="39"/>
    </row>
    <row r="350" spans="1:13" x14ac:dyDescent="0.25">
      <c r="A350" t="s">
        <v>977</v>
      </c>
      <c r="B350">
        <v>120.79</v>
      </c>
      <c r="C350" t="s">
        <v>363</v>
      </c>
      <c r="D350">
        <v>1510.8473315229655</v>
      </c>
      <c r="E350">
        <v>1388.2268983556166</v>
      </c>
      <c r="F350">
        <v>350</v>
      </c>
      <c r="G350">
        <v>1</v>
      </c>
      <c r="H350">
        <v>171</v>
      </c>
    </row>
    <row r="351" spans="1:13" x14ac:dyDescent="0.25">
      <c r="A351" s="38" t="s">
        <v>978</v>
      </c>
      <c r="B351" s="38">
        <v>120.85</v>
      </c>
      <c r="C351" s="38" t="s">
        <v>364</v>
      </c>
      <c r="D351" s="38">
        <v>1511.8764869229656</v>
      </c>
      <c r="E351" s="38">
        <v>1388.5356449878852</v>
      </c>
      <c r="F351" s="38">
        <v>351</v>
      </c>
      <c r="G351" s="38">
        <v>1</v>
      </c>
      <c r="H351" s="38">
        <v>171</v>
      </c>
      <c r="I351" s="38"/>
      <c r="J351" s="38"/>
      <c r="K351" s="38"/>
      <c r="L351" s="38"/>
      <c r="M351" s="38"/>
    </row>
    <row r="352" spans="1:13" x14ac:dyDescent="0.25">
      <c r="A352" t="s">
        <v>979</v>
      </c>
      <c r="B352">
        <v>121.49</v>
      </c>
      <c r="C352" t="s">
        <v>365</v>
      </c>
      <c r="D352">
        <v>1519.5136267681212</v>
      </c>
      <c r="E352">
        <v>1396.1727848330409</v>
      </c>
      <c r="F352">
        <v>352</v>
      </c>
      <c r="G352">
        <v>2</v>
      </c>
      <c r="H352">
        <v>172</v>
      </c>
    </row>
    <row r="353" spans="1:13" x14ac:dyDescent="0.25">
      <c r="A353" s="38" t="s">
        <v>980</v>
      </c>
      <c r="B353" s="38">
        <v>121.54</v>
      </c>
      <c r="C353" s="38" t="s">
        <v>366</v>
      </c>
      <c r="D353" s="38">
        <v>1520.5427821681212</v>
      </c>
      <c r="E353" s="38">
        <v>1396.4815314653094</v>
      </c>
      <c r="F353" s="38">
        <v>353</v>
      </c>
      <c r="G353" s="38">
        <v>2</v>
      </c>
      <c r="H353" s="38">
        <v>172</v>
      </c>
      <c r="I353" s="38"/>
      <c r="J353" s="38"/>
      <c r="K353" s="38"/>
      <c r="L353" s="38"/>
      <c r="M353" s="38"/>
    </row>
    <row r="354" spans="1:13" x14ac:dyDescent="0.25">
      <c r="A354" t="s">
        <v>981</v>
      </c>
      <c r="B354">
        <v>122.18</v>
      </c>
      <c r="C354" t="s">
        <v>367</v>
      </c>
      <c r="D354">
        <v>1528.1799220132768</v>
      </c>
      <c r="E354">
        <v>1404.1186713104651</v>
      </c>
      <c r="F354">
        <v>354</v>
      </c>
      <c r="G354">
        <v>3</v>
      </c>
      <c r="H354">
        <v>173</v>
      </c>
    </row>
    <row r="355" spans="1:13" x14ac:dyDescent="0.25">
      <c r="A355" s="38" t="s">
        <v>982</v>
      </c>
      <c r="B355" s="38">
        <v>122.23</v>
      </c>
      <c r="C355" s="38" t="s">
        <v>368</v>
      </c>
      <c r="D355" s="38">
        <v>1529.2090774132769</v>
      </c>
      <c r="E355" s="38">
        <v>1404.4274179427337</v>
      </c>
      <c r="F355" s="38">
        <v>355</v>
      </c>
      <c r="G355" s="38">
        <v>3</v>
      </c>
      <c r="H355" s="38">
        <v>173</v>
      </c>
      <c r="I355" s="38"/>
      <c r="J355" s="38"/>
      <c r="K355" s="38"/>
      <c r="L355" s="38"/>
      <c r="M355" s="38"/>
    </row>
    <row r="356" spans="1:13" x14ac:dyDescent="0.25">
      <c r="A356" t="s">
        <v>983</v>
      </c>
      <c r="B356">
        <v>122.87</v>
      </c>
      <c r="C356" t="s">
        <v>369</v>
      </c>
      <c r="D356">
        <v>1536.8462172584325</v>
      </c>
      <c r="E356">
        <v>1412.0645577878893</v>
      </c>
      <c r="F356">
        <v>356</v>
      </c>
      <c r="G356">
        <v>4</v>
      </c>
      <c r="H356">
        <v>174</v>
      </c>
    </row>
    <row r="357" spans="1:13" x14ac:dyDescent="0.25">
      <c r="A357" s="38" t="s">
        <v>984</v>
      </c>
      <c r="B357" s="38">
        <v>122.93</v>
      </c>
      <c r="C357" s="38" t="s">
        <v>370</v>
      </c>
      <c r="D357" s="38">
        <v>1537.8753726584325</v>
      </c>
      <c r="E357" s="38">
        <v>1412.3733044201579</v>
      </c>
      <c r="F357" s="38">
        <v>357</v>
      </c>
      <c r="G357" s="38">
        <v>4</v>
      </c>
      <c r="H357" s="38">
        <v>174</v>
      </c>
      <c r="I357" s="38"/>
      <c r="J357" s="38"/>
      <c r="K357" s="38"/>
      <c r="L357" s="38"/>
      <c r="M357" s="38"/>
    </row>
    <row r="358" spans="1:13" x14ac:dyDescent="0.25">
      <c r="A358" t="s">
        <v>985</v>
      </c>
      <c r="B358">
        <v>123.56</v>
      </c>
      <c r="C358" t="s">
        <v>371</v>
      </c>
      <c r="D358">
        <v>1545.5125125035881</v>
      </c>
      <c r="E358">
        <v>1420.0104442653135</v>
      </c>
      <c r="F358">
        <v>358</v>
      </c>
      <c r="G358">
        <v>5</v>
      </c>
      <c r="H358">
        <v>175</v>
      </c>
    </row>
    <row r="359" spans="1:13" x14ac:dyDescent="0.25">
      <c r="A359" s="38" t="s">
        <v>986</v>
      </c>
      <c r="B359" s="38">
        <v>123.62</v>
      </c>
      <c r="C359" s="38" t="s">
        <v>372</v>
      </c>
      <c r="D359" s="38">
        <v>1546.5416679035882</v>
      </c>
      <c r="E359" s="38">
        <v>1420.3191908975821</v>
      </c>
      <c r="F359" s="38">
        <v>359</v>
      </c>
      <c r="G359" s="38">
        <v>5</v>
      </c>
      <c r="H359" s="38">
        <v>175</v>
      </c>
      <c r="I359" s="38"/>
      <c r="J359" s="38"/>
      <c r="K359" s="38"/>
      <c r="L359" s="38"/>
      <c r="M359" s="38"/>
    </row>
    <row r="360" spans="1:13" x14ac:dyDescent="0.25">
      <c r="A360" t="s">
        <v>987</v>
      </c>
      <c r="B360">
        <v>124.26</v>
      </c>
      <c r="C360" t="s">
        <v>373</v>
      </c>
      <c r="D360">
        <v>1554.1788077487438</v>
      </c>
      <c r="E360">
        <v>1427.9563307427377</v>
      </c>
      <c r="F360">
        <v>360</v>
      </c>
      <c r="G360">
        <v>6</v>
      </c>
      <c r="H360">
        <v>176</v>
      </c>
    </row>
    <row r="361" spans="1:13" x14ac:dyDescent="0.25">
      <c r="A361" s="38" t="s">
        <v>988</v>
      </c>
      <c r="B361" s="38">
        <v>124.31</v>
      </c>
      <c r="C361" s="38" t="s">
        <v>374</v>
      </c>
      <c r="D361" s="38">
        <v>1555.2079631487438</v>
      </c>
      <c r="E361" s="38">
        <v>1428.2650773750063</v>
      </c>
      <c r="F361" s="38">
        <v>361</v>
      </c>
      <c r="G361" s="38">
        <v>6</v>
      </c>
      <c r="H361" s="38">
        <v>176</v>
      </c>
      <c r="I361" s="38"/>
      <c r="J361" s="38"/>
      <c r="K361" s="38"/>
      <c r="L361" s="38"/>
      <c r="M361" s="38"/>
    </row>
    <row r="362" spans="1:13" x14ac:dyDescent="0.25">
      <c r="A362" t="s">
        <v>989</v>
      </c>
      <c r="B362">
        <v>124.95</v>
      </c>
      <c r="C362" t="s">
        <v>377</v>
      </c>
      <c r="D362">
        <v>1562.8451029938994</v>
      </c>
      <c r="E362">
        <v>1435.9022172201619</v>
      </c>
      <c r="F362">
        <v>362</v>
      </c>
      <c r="G362">
        <v>7</v>
      </c>
      <c r="H362">
        <v>177</v>
      </c>
    </row>
    <row r="363" spans="1:13" x14ac:dyDescent="0.25">
      <c r="A363" s="38" t="s">
        <v>990</v>
      </c>
      <c r="B363" s="38">
        <v>125</v>
      </c>
      <c r="C363" s="38" t="s">
        <v>378</v>
      </c>
      <c r="D363" s="38">
        <v>1563.8742583938995</v>
      </c>
      <c r="E363" s="38">
        <v>1436.2109638524305</v>
      </c>
      <c r="F363" s="38">
        <v>363</v>
      </c>
      <c r="G363" s="38">
        <v>7</v>
      </c>
      <c r="H363" s="38">
        <v>177</v>
      </c>
      <c r="I363" s="38"/>
      <c r="J363" s="38"/>
      <c r="K363" s="38"/>
      <c r="L363" s="38"/>
      <c r="M363" s="38"/>
    </row>
    <row r="364" spans="1:13" x14ac:dyDescent="0.25">
      <c r="A364" t="s">
        <v>991</v>
      </c>
      <c r="B364">
        <v>125.64</v>
      </c>
      <c r="C364" t="s">
        <v>379</v>
      </c>
      <c r="D364">
        <v>1571.5113982390551</v>
      </c>
      <c r="E364">
        <v>1443.8481036975861</v>
      </c>
      <c r="F364">
        <v>364</v>
      </c>
      <c r="G364">
        <v>8</v>
      </c>
      <c r="H364">
        <v>178</v>
      </c>
    </row>
    <row r="365" spans="1:13" x14ac:dyDescent="0.25">
      <c r="A365" s="38" t="s">
        <v>992</v>
      </c>
      <c r="B365" s="38">
        <v>125.7</v>
      </c>
      <c r="C365" s="38" t="s">
        <v>380</v>
      </c>
      <c r="D365" s="38">
        <v>1572.5405536390551</v>
      </c>
      <c r="E365" s="38">
        <v>1444.1568503298547</v>
      </c>
      <c r="F365" s="38">
        <v>365</v>
      </c>
      <c r="G365" s="38">
        <v>8</v>
      </c>
      <c r="H365" s="38">
        <v>178</v>
      </c>
      <c r="I365" s="38"/>
      <c r="J365" s="38"/>
      <c r="K365" s="38"/>
      <c r="L365" s="38"/>
      <c r="M365" s="38"/>
    </row>
    <row r="366" spans="1:13" x14ac:dyDescent="0.25">
      <c r="A366" t="s">
        <v>993</v>
      </c>
      <c r="B366">
        <v>126.33</v>
      </c>
      <c r="C366" t="s">
        <v>381</v>
      </c>
      <c r="D366">
        <v>1580.1776934842107</v>
      </c>
      <c r="E366">
        <v>1451.7939901750103</v>
      </c>
      <c r="F366">
        <v>366</v>
      </c>
      <c r="G366">
        <v>9</v>
      </c>
      <c r="H366">
        <v>179</v>
      </c>
    </row>
    <row r="367" spans="1:13" x14ac:dyDescent="0.25">
      <c r="A367" s="38" t="s">
        <v>994</v>
      </c>
      <c r="B367" s="38">
        <v>126.39</v>
      </c>
      <c r="C367" s="38" t="s">
        <v>382</v>
      </c>
      <c r="D367" s="38">
        <v>1581.2068488842108</v>
      </c>
      <c r="E367" s="38">
        <v>1452.1027368072789</v>
      </c>
      <c r="F367" s="38">
        <v>367</v>
      </c>
      <c r="G367" s="38">
        <v>9</v>
      </c>
      <c r="H367" s="38">
        <v>179</v>
      </c>
      <c r="I367" s="38"/>
      <c r="J367" s="38"/>
      <c r="K367" s="38"/>
      <c r="L367" s="38"/>
      <c r="M367" s="38"/>
    </row>
    <row r="368" spans="1:13" x14ac:dyDescent="0.25">
      <c r="A368" t="s">
        <v>995</v>
      </c>
      <c r="B368">
        <v>127.02</v>
      </c>
      <c r="C368" t="s">
        <v>383</v>
      </c>
      <c r="D368">
        <v>1588.8439887293664</v>
      </c>
      <c r="E368">
        <v>1459.7398766524345</v>
      </c>
      <c r="F368">
        <v>368</v>
      </c>
      <c r="G368">
        <v>10</v>
      </c>
      <c r="H368">
        <v>180</v>
      </c>
    </row>
    <row r="369" spans="1:13" x14ac:dyDescent="0.25">
      <c r="A369" s="38" t="s">
        <v>996</v>
      </c>
      <c r="B369" s="38">
        <v>127.08</v>
      </c>
      <c r="C369" s="38" t="s">
        <v>384</v>
      </c>
      <c r="D369" s="38">
        <v>1589.8731441293664</v>
      </c>
      <c r="E369" s="38">
        <v>1460.0486232847031</v>
      </c>
      <c r="F369" s="38">
        <v>369</v>
      </c>
      <c r="G369" s="38">
        <v>10</v>
      </c>
      <c r="H369" s="38">
        <v>180</v>
      </c>
      <c r="I369" s="38"/>
      <c r="J369" s="38"/>
      <c r="K369" s="38"/>
      <c r="L369" s="38"/>
      <c r="M369" s="38"/>
    </row>
    <row r="370" spans="1:13" x14ac:dyDescent="0.25">
      <c r="A370" t="s">
        <v>997</v>
      </c>
      <c r="B370">
        <v>127.72</v>
      </c>
      <c r="C370" t="s">
        <v>385</v>
      </c>
      <c r="D370">
        <v>1597.5102839745221</v>
      </c>
      <c r="E370">
        <v>1467.6857631298587</v>
      </c>
      <c r="F370">
        <v>370</v>
      </c>
      <c r="G370">
        <v>11</v>
      </c>
      <c r="H370">
        <v>181</v>
      </c>
    </row>
    <row r="371" spans="1:13" x14ac:dyDescent="0.25">
      <c r="A371" s="38" t="s">
        <v>998</v>
      </c>
      <c r="B371" s="38">
        <v>127.77</v>
      </c>
      <c r="C371" s="38" t="s">
        <v>386</v>
      </c>
      <c r="D371" s="38">
        <v>1598.5394393745221</v>
      </c>
      <c r="E371" s="38">
        <v>1467.9945097621273</v>
      </c>
      <c r="F371" s="38">
        <v>371</v>
      </c>
      <c r="G371" s="38">
        <v>11</v>
      </c>
      <c r="H371" s="38">
        <v>181</v>
      </c>
      <c r="I371" s="38"/>
      <c r="J371" s="38"/>
      <c r="K371" s="38"/>
      <c r="L371" s="38"/>
      <c r="M371" s="38"/>
    </row>
    <row r="372" spans="1:13" x14ac:dyDescent="0.25">
      <c r="A372" t="s">
        <v>999</v>
      </c>
      <c r="B372">
        <v>128.41</v>
      </c>
      <c r="C372" t="s">
        <v>387</v>
      </c>
      <c r="D372">
        <v>1606.1765792196777</v>
      </c>
      <c r="E372">
        <v>1475.631649607283</v>
      </c>
      <c r="F372">
        <v>372</v>
      </c>
      <c r="G372">
        <v>12</v>
      </c>
      <c r="H372">
        <v>182</v>
      </c>
    </row>
    <row r="373" spans="1:13" x14ac:dyDescent="0.25">
      <c r="A373" s="38" t="s">
        <v>1000</v>
      </c>
      <c r="B373" s="38">
        <v>128.46</v>
      </c>
      <c r="C373" s="38" t="s">
        <v>388</v>
      </c>
      <c r="D373" s="38">
        <v>1607.2057346196777</v>
      </c>
      <c r="E373" s="38">
        <v>1475.9403962395515</v>
      </c>
      <c r="F373" s="38">
        <v>373</v>
      </c>
      <c r="G373" s="38">
        <v>12</v>
      </c>
      <c r="H373" s="38">
        <v>182</v>
      </c>
      <c r="I373" s="38"/>
      <c r="J373" s="38"/>
      <c r="K373" s="38"/>
      <c r="L373" s="38"/>
      <c r="M373" s="38"/>
    </row>
    <row r="374" spans="1:13" x14ac:dyDescent="0.25">
      <c r="A374" t="s">
        <v>1001</v>
      </c>
      <c r="B374">
        <v>129.1</v>
      </c>
      <c r="C374" t="s">
        <v>389</v>
      </c>
      <c r="D374">
        <v>1614.8428744648334</v>
      </c>
      <c r="E374">
        <v>1483.5775360847072</v>
      </c>
      <c r="F374">
        <v>374</v>
      </c>
      <c r="G374">
        <v>13</v>
      </c>
      <c r="H374">
        <v>183</v>
      </c>
    </row>
    <row r="375" spans="1:13" x14ac:dyDescent="0.25">
      <c r="A375" s="38" t="s">
        <v>1002</v>
      </c>
      <c r="B375" s="38">
        <v>129.16</v>
      </c>
      <c r="C375" s="38" t="s">
        <v>390</v>
      </c>
      <c r="D375" s="38">
        <v>1615.8720298648334</v>
      </c>
      <c r="E375" s="38">
        <v>1483.8862827169758</v>
      </c>
      <c r="F375" s="38">
        <v>375</v>
      </c>
      <c r="G375" s="38">
        <v>13</v>
      </c>
      <c r="H375" s="38">
        <v>183</v>
      </c>
      <c r="I375" s="38"/>
      <c r="J375" s="38"/>
      <c r="K375" s="38"/>
      <c r="L375" s="38"/>
      <c r="M375" s="38"/>
    </row>
    <row r="376" spans="1:13" x14ac:dyDescent="0.25">
      <c r="A376" t="s">
        <v>1003</v>
      </c>
      <c r="B376">
        <v>129.79</v>
      </c>
      <c r="C376" t="s">
        <v>391</v>
      </c>
      <c r="D376">
        <v>1623.509169709989</v>
      </c>
      <c r="E376">
        <v>1491.5234225621314</v>
      </c>
      <c r="F376">
        <v>376</v>
      </c>
      <c r="G376">
        <v>14</v>
      </c>
      <c r="H376">
        <v>184</v>
      </c>
    </row>
    <row r="377" spans="1:13" x14ac:dyDescent="0.25">
      <c r="A377" s="38" t="s">
        <v>1004</v>
      </c>
      <c r="B377" s="38">
        <v>129.85</v>
      </c>
      <c r="C377" s="38" t="s">
        <v>392</v>
      </c>
      <c r="D377" s="38">
        <v>1624.538325109989</v>
      </c>
      <c r="E377" s="38">
        <v>1491.8321691944</v>
      </c>
      <c r="F377" s="38">
        <v>377</v>
      </c>
      <c r="G377" s="38">
        <v>14</v>
      </c>
      <c r="H377" s="38">
        <v>184</v>
      </c>
      <c r="I377" s="38"/>
      <c r="J377" s="38"/>
      <c r="K377" s="38"/>
      <c r="L377" s="38"/>
      <c r="M377" s="38"/>
    </row>
    <row r="378" spans="1:13" x14ac:dyDescent="0.25">
      <c r="A378" t="s">
        <v>1005</v>
      </c>
      <c r="B378">
        <v>130.49</v>
      </c>
      <c r="C378" t="s">
        <v>393</v>
      </c>
      <c r="D378">
        <v>1632.1754649551447</v>
      </c>
      <c r="E378">
        <v>1499.4693090395556</v>
      </c>
      <c r="F378">
        <v>378</v>
      </c>
      <c r="G378">
        <v>15</v>
      </c>
      <c r="H378">
        <v>185</v>
      </c>
    </row>
    <row r="379" spans="1:13" x14ac:dyDescent="0.25">
      <c r="A379" s="38" t="s">
        <v>1006</v>
      </c>
      <c r="B379" s="38">
        <v>130.54</v>
      </c>
      <c r="C379" s="38" t="s">
        <v>394</v>
      </c>
      <c r="D379" s="38">
        <v>1633.2046203551447</v>
      </c>
      <c r="E379" s="38">
        <v>1499.7780556718242</v>
      </c>
      <c r="F379" s="38">
        <v>379</v>
      </c>
      <c r="G379" s="38">
        <v>15</v>
      </c>
      <c r="H379" s="38">
        <v>185</v>
      </c>
      <c r="I379" s="38"/>
      <c r="J379" s="38"/>
      <c r="K379" s="38"/>
      <c r="L379" s="38"/>
      <c r="M379" s="38"/>
    </row>
    <row r="380" spans="1:13" x14ac:dyDescent="0.25">
      <c r="A380" t="s">
        <v>1007</v>
      </c>
      <c r="B380">
        <v>131.18</v>
      </c>
      <c r="C380" t="s">
        <v>395</v>
      </c>
      <c r="D380">
        <v>1640.8417602003003</v>
      </c>
      <c r="E380">
        <v>1507.4151955169798</v>
      </c>
      <c r="F380">
        <v>380</v>
      </c>
      <c r="G380">
        <v>16</v>
      </c>
      <c r="H380">
        <v>186</v>
      </c>
    </row>
    <row r="381" spans="1:13" x14ac:dyDescent="0.25">
      <c r="A381" s="38" t="s">
        <v>1008</v>
      </c>
      <c r="B381" s="38">
        <v>131.22999999999999</v>
      </c>
      <c r="C381" s="38" t="s">
        <v>396</v>
      </c>
      <c r="D381" s="38">
        <v>1641.8709156003003</v>
      </c>
      <c r="E381" s="38">
        <v>1507.7239421492484</v>
      </c>
      <c r="F381" s="38">
        <v>381</v>
      </c>
      <c r="G381" s="38">
        <v>16</v>
      </c>
      <c r="H381" s="38">
        <v>186</v>
      </c>
      <c r="I381" s="38"/>
      <c r="J381" s="38"/>
      <c r="K381" s="38"/>
      <c r="L381" s="38"/>
      <c r="M381" s="38"/>
    </row>
    <row r="382" spans="1:13" x14ac:dyDescent="0.25">
      <c r="A382" t="s">
        <v>1009</v>
      </c>
      <c r="B382">
        <v>131.87</v>
      </c>
      <c r="C382" t="s">
        <v>397</v>
      </c>
      <c r="D382">
        <v>1649.508055445456</v>
      </c>
      <c r="E382">
        <v>1515.361081994404</v>
      </c>
      <c r="F382">
        <v>382</v>
      </c>
      <c r="G382">
        <v>17</v>
      </c>
      <c r="H382">
        <v>187</v>
      </c>
    </row>
    <row r="383" spans="1:13" x14ac:dyDescent="0.25">
      <c r="A383" s="39" t="s">
        <v>1010</v>
      </c>
      <c r="B383" s="39">
        <v>132.18</v>
      </c>
      <c r="C383" s="39" t="s">
        <v>398</v>
      </c>
      <c r="D383" s="39">
        <v>1653.537210845456</v>
      </c>
      <c r="E383" s="39">
        <v>1518.6698286266726</v>
      </c>
      <c r="F383" s="39">
        <v>383</v>
      </c>
      <c r="G383" s="39">
        <v>17</v>
      </c>
      <c r="H383" s="39">
        <v>187</v>
      </c>
      <c r="I383" s="39"/>
      <c r="J383" s="39"/>
      <c r="K383" s="39"/>
      <c r="L383" s="39"/>
      <c r="M383" s="39"/>
    </row>
    <row r="384" spans="1:13" x14ac:dyDescent="0.25">
      <c r="A384" t="s">
        <v>1011</v>
      </c>
      <c r="B384">
        <v>132.81</v>
      </c>
      <c r="C384" t="s">
        <v>399</v>
      </c>
      <c r="D384">
        <v>1661.1743506906116</v>
      </c>
      <c r="E384">
        <v>1526.3069684718282</v>
      </c>
      <c r="F384">
        <v>384</v>
      </c>
      <c r="G384">
        <v>1</v>
      </c>
      <c r="H384">
        <v>188</v>
      </c>
    </row>
    <row r="385" spans="1:13" x14ac:dyDescent="0.25">
      <c r="A385" s="38" t="s">
        <v>1012</v>
      </c>
      <c r="B385" s="38">
        <v>132.87</v>
      </c>
      <c r="C385" s="38" t="s">
        <v>400</v>
      </c>
      <c r="D385" s="38">
        <v>1662.2035060906117</v>
      </c>
      <c r="E385" s="38">
        <v>1526.6157151040968</v>
      </c>
      <c r="F385" s="38">
        <v>385</v>
      </c>
      <c r="G385" s="38">
        <v>1</v>
      </c>
      <c r="H385" s="38">
        <v>188</v>
      </c>
      <c r="I385" s="38"/>
      <c r="J385" s="38"/>
      <c r="K385" s="38"/>
      <c r="L385" s="38"/>
      <c r="M385" s="38"/>
    </row>
    <row r="386" spans="1:13" x14ac:dyDescent="0.25">
      <c r="A386" t="s">
        <v>1013</v>
      </c>
      <c r="B386">
        <v>133.5</v>
      </c>
      <c r="C386" t="s">
        <v>401</v>
      </c>
      <c r="D386">
        <v>1669.8406459357673</v>
      </c>
      <c r="E386">
        <v>1534.2528549492524</v>
      </c>
      <c r="F386">
        <v>386</v>
      </c>
      <c r="G386">
        <v>2</v>
      </c>
      <c r="H386">
        <v>189</v>
      </c>
    </row>
    <row r="387" spans="1:13" x14ac:dyDescent="0.25">
      <c r="A387" s="38" t="s">
        <v>1014</v>
      </c>
      <c r="B387" s="38">
        <v>133.56</v>
      </c>
      <c r="C387" s="38" t="s">
        <v>402</v>
      </c>
      <c r="D387" s="38">
        <v>1670.8698013357673</v>
      </c>
      <c r="E387" s="38">
        <v>1534.561601581521</v>
      </c>
      <c r="F387" s="38">
        <v>387</v>
      </c>
      <c r="G387" s="38">
        <v>2</v>
      </c>
      <c r="H387" s="38">
        <v>189</v>
      </c>
      <c r="I387" s="38"/>
      <c r="J387" s="38"/>
      <c r="K387" s="38"/>
      <c r="L387" s="38"/>
      <c r="M387" s="38"/>
    </row>
    <row r="388" spans="1:13" x14ac:dyDescent="0.25">
      <c r="A388" t="s">
        <v>1015</v>
      </c>
      <c r="B388">
        <v>134.19999999999999</v>
      </c>
      <c r="C388" t="s">
        <v>403</v>
      </c>
      <c r="D388">
        <v>1678.5069411809229</v>
      </c>
      <c r="E388">
        <v>1542.1987414266766</v>
      </c>
      <c r="F388">
        <v>388</v>
      </c>
      <c r="G388">
        <v>3</v>
      </c>
      <c r="H388">
        <v>190</v>
      </c>
    </row>
    <row r="389" spans="1:13" x14ac:dyDescent="0.25">
      <c r="A389" s="38" t="s">
        <v>1016</v>
      </c>
      <c r="B389" s="38">
        <v>134.25</v>
      </c>
      <c r="C389" s="38" t="s">
        <v>404</v>
      </c>
      <c r="D389" s="38">
        <v>1679.536096580923</v>
      </c>
      <c r="E389" s="38">
        <v>1542.5074880589452</v>
      </c>
      <c r="F389" s="38">
        <v>389</v>
      </c>
      <c r="G389" s="38">
        <v>3</v>
      </c>
      <c r="H389" s="38">
        <v>190</v>
      </c>
      <c r="I389" s="38"/>
      <c r="J389" s="38"/>
      <c r="K389" s="38"/>
      <c r="L389" s="38"/>
      <c r="M389" s="38"/>
    </row>
    <row r="390" spans="1:13" x14ac:dyDescent="0.25">
      <c r="A390" t="s">
        <v>1017</v>
      </c>
      <c r="B390">
        <v>134.88999999999999</v>
      </c>
      <c r="C390" t="s">
        <v>405</v>
      </c>
      <c r="D390">
        <v>1687.1732364260786</v>
      </c>
      <c r="E390">
        <v>1550.1446279041008</v>
      </c>
      <c r="F390">
        <v>390</v>
      </c>
      <c r="G390">
        <v>4</v>
      </c>
      <c r="H390">
        <v>191</v>
      </c>
    </row>
    <row r="391" spans="1:13" x14ac:dyDescent="0.25">
      <c r="A391" s="38" t="s">
        <v>1018</v>
      </c>
      <c r="B391" s="38">
        <v>134.94</v>
      </c>
      <c r="C391" s="38" t="s">
        <v>406</v>
      </c>
      <c r="D391" s="38">
        <v>1688.2023918260786</v>
      </c>
      <c r="E391" s="38">
        <v>1550.4533745363694</v>
      </c>
      <c r="F391" s="38">
        <v>391</v>
      </c>
      <c r="G391" s="38">
        <v>4</v>
      </c>
      <c r="H391" s="38">
        <v>191</v>
      </c>
      <c r="I391" s="38"/>
      <c r="J391" s="38"/>
      <c r="K391" s="38"/>
      <c r="L391" s="38"/>
      <c r="M391" s="38"/>
    </row>
    <row r="392" spans="1:13" x14ac:dyDescent="0.25">
      <c r="A392" t="s">
        <v>1019</v>
      </c>
      <c r="B392">
        <v>135.58000000000001</v>
      </c>
      <c r="C392" t="s">
        <v>407</v>
      </c>
      <c r="D392">
        <v>1695.8395316712342</v>
      </c>
      <c r="E392">
        <v>1558.0905143815251</v>
      </c>
      <c r="F392">
        <v>392</v>
      </c>
      <c r="G392">
        <v>5</v>
      </c>
      <c r="H392">
        <v>192</v>
      </c>
    </row>
    <row r="393" spans="1:13" x14ac:dyDescent="0.25">
      <c r="A393" s="38" t="s">
        <v>1020</v>
      </c>
      <c r="B393" s="38">
        <v>135.63999999999999</v>
      </c>
      <c r="C393" s="38" t="s">
        <v>408</v>
      </c>
      <c r="D393" s="38">
        <v>1696.8686870712343</v>
      </c>
      <c r="E393" s="38">
        <v>1558.3992610137936</v>
      </c>
      <c r="F393" s="38">
        <v>393</v>
      </c>
      <c r="G393" s="38">
        <v>5</v>
      </c>
      <c r="H393" s="38">
        <v>192</v>
      </c>
      <c r="I393" s="38"/>
      <c r="J393" s="38"/>
      <c r="K393" s="38"/>
      <c r="L393" s="38"/>
      <c r="M393" s="38"/>
    </row>
    <row r="394" spans="1:13" x14ac:dyDescent="0.25">
      <c r="A394" t="s">
        <v>1021</v>
      </c>
      <c r="B394">
        <v>136.27000000000001</v>
      </c>
      <c r="C394" t="s">
        <v>409</v>
      </c>
      <c r="D394">
        <v>1704.5058269163899</v>
      </c>
      <c r="E394">
        <v>1566.0364008589493</v>
      </c>
      <c r="F394">
        <v>394</v>
      </c>
      <c r="G394">
        <v>6</v>
      </c>
      <c r="H394">
        <v>193</v>
      </c>
    </row>
    <row r="395" spans="1:13" x14ac:dyDescent="0.25">
      <c r="A395" s="38" t="s">
        <v>1022</v>
      </c>
      <c r="B395" s="38">
        <v>136.33000000000001</v>
      </c>
      <c r="C395" s="38" t="s">
        <v>410</v>
      </c>
      <c r="D395" s="38">
        <v>1705.5349823163899</v>
      </c>
      <c r="E395" s="38">
        <v>1566.3451474912179</v>
      </c>
      <c r="F395" s="38">
        <v>395</v>
      </c>
      <c r="G395" s="38">
        <v>6</v>
      </c>
      <c r="H395" s="38">
        <v>193</v>
      </c>
      <c r="I395" s="38"/>
      <c r="J395" s="38"/>
      <c r="K395" s="38"/>
      <c r="L395" s="38"/>
      <c r="M395" s="38"/>
    </row>
    <row r="396" spans="1:13" x14ac:dyDescent="0.25">
      <c r="A396" t="s">
        <v>1023</v>
      </c>
      <c r="B396">
        <v>136.96</v>
      </c>
      <c r="C396" t="s">
        <v>411</v>
      </c>
      <c r="D396">
        <v>1713.1721221615455</v>
      </c>
      <c r="E396">
        <v>1573.9822873363735</v>
      </c>
      <c r="F396">
        <v>396</v>
      </c>
      <c r="G396">
        <v>7</v>
      </c>
      <c r="H396">
        <v>194</v>
      </c>
    </row>
    <row r="397" spans="1:13" x14ac:dyDescent="0.25">
      <c r="A397" s="38" t="s">
        <v>1024</v>
      </c>
      <c r="B397" s="38">
        <v>137.02000000000001</v>
      </c>
      <c r="C397" s="38" t="s">
        <v>412</v>
      </c>
      <c r="D397" s="38">
        <v>1714.2012775615456</v>
      </c>
      <c r="E397" s="38">
        <v>1574.2910339686421</v>
      </c>
      <c r="F397" s="38">
        <v>397</v>
      </c>
      <c r="G397" s="38">
        <v>7</v>
      </c>
      <c r="H397" s="38">
        <v>194</v>
      </c>
      <c r="I397" s="38"/>
      <c r="J397" s="38"/>
      <c r="K397" s="38"/>
      <c r="L397" s="38"/>
      <c r="M397" s="38"/>
    </row>
    <row r="398" spans="1:13" x14ac:dyDescent="0.25">
      <c r="A398" t="s">
        <v>1025</v>
      </c>
      <c r="B398">
        <v>137.66</v>
      </c>
      <c r="C398" t="s">
        <v>413</v>
      </c>
      <c r="D398">
        <v>1721.8384174067012</v>
      </c>
      <c r="E398">
        <v>1581.9281738137977</v>
      </c>
      <c r="F398">
        <v>398</v>
      </c>
      <c r="G398">
        <v>8</v>
      </c>
      <c r="H398">
        <v>195</v>
      </c>
    </row>
    <row r="399" spans="1:13" x14ac:dyDescent="0.25">
      <c r="A399" s="38" t="s">
        <v>1026</v>
      </c>
      <c r="B399" s="38">
        <v>137.71</v>
      </c>
      <c r="C399" s="38" t="s">
        <v>414</v>
      </c>
      <c r="D399" s="38">
        <v>1722.8675728067012</v>
      </c>
      <c r="E399" s="38">
        <v>1582.2369204460663</v>
      </c>
      <c r="F399" s="38">
        <v>399</v>
      </c>
      <c r="G399" s="38">
        <v>8</v>
      </c>
      <c r="H399" s="38">
        <v>195</v>
      </c>
      <c r="I399" s="38"/>
      <c r="J399" s="38"/>
      <c r="K399" s="38"/>
      <c r="L399" s="38"/>
      <c r="M399" s="38"/>
    </row>
    <row r="400" spans="1:13" x14ac:dyDescent="0.25">
      <c r="A400" t="s">
        <v>1027</v>
      </c>
      <c r="B400">
        <v>138.35</v>
      </c>
      <c r="C400" t="s">
        <v>415</v>
      </c>
      <c r="D400">
        <v>1730.5047126518568</v>
      </c>
      <c r="E400">
        <v>1589.8740602912219</v>
      </c>
      <c r="F400">
        <v>400</v>
      </c>
      <c r="G400">
        <v>9</v>
      </c>
      <c r="H400">
        <v>196</v>
      </c>
    </row>
    <row r="401" spans="1:13" x14ac:dyDescent="0.25">
      <c r="A401" s="38" t="s">
        <v>1028</v>
      </c>
      <c r="B401" s="38">
        <v>138.4</v>
      </c>
      <c r="C401" s="38" t="s">
        <v>416</v>
      </c>
      <c r="D401" s="38">
        <v>1731.5338680518569</v>
      </c>
      <c r="E401" s="38">
        <v>1590.1828069234905</v>
      </c>
      <c r="F401" s="38">
        <v>401</v>
      </c>
      <c r="G401" s="38">
        <v>9</v>
      </c>
      <c r="H401" s="38">
        <v>196</v>
      </c>
      <c r="I401" s="38"/>
      <c r="J401" s="38"/>
      <c r="K401" s="38"/>
      <c r="L401" s="38"/>
      <c r="M401" s="38"/>
    </row>
    <row r="402" spans="1:13" x14ac:dyDescent="0.25">
      <c r="A402" t="s">
        <v>1029</v>
      </c>
      <c r="B402">
        <v>139.04</v>
      </c>
      <c r="C402" t="s">
        <v>417</v>
      </c>
      <c r="D402">
        <v>1739.1710078970125</v>
      </c>
      <c r="E402">
        <v>1597.8199467686461</v>
      </c>
      <c r="F402">
        <v>402</v>
      </c>
      <c r="G402">
        <v>10</v>
      </c>
      <c r="H402">
        <v>197</v>
      </c>
    </row>
    <row r="403" spans="1:13" x14ac:dyDescent="0.25">
      <c r="A403" s="38" t="s">
        <v>1030</v>
      </c>
      <c r="B403" s="38">
        <v>139.1</v>
      </c>
      <c r="C403" s="38" t="s">
        <v>418</v>
      </c>
      <c r="D403" s="38">
        <v>1740.2001632970125</v>
      </c>
      <c r="E403" s="38">
        <v>1598.1286934009147</v>
      </c>
      <c r="F403" s="38">
        <v>403</v>
      </c>
      <c r="G403" s="38">
        <v>10</v>
      </c>
      <c r="H403" s="38">
        <v>197</v>
      </c>
      <c r="I403" s="38"/>
      <c r="J403" s="38"/>
      <c r="K403" s="38"/>
      <c r="L403" s="38"/>
      <c r="M403" s="38"/>
    </row>
    <row r="404" spans="1:13" x14ac:dyDescent="0.25">
      <c r="A404" t="s">
        <v>1031</v>
      </c>
      <c r="B404">
        <v>139.72999999999999</v>
      </c>
      <c r="C404" t="s">
        <v>419</v>
      </c>
      <c r="D404">
        <v>1747.8373031421681</v>
      </c>
      <c r="E404">
        <v>1605.7658332460703</v>
      </c>
      <c r="F404">
        <v>404</v>
      </c>
      <c r="G404">
        <v>11</v>
      </c>
      <c r="H404">
        <v>198</v>
      </c>
    </row>
    <row r="405" spans="1:13" x14ac:dyDescent="0.25">
      <c r="A405" s="38" t="s">
        <v>1032</v>
      </c>
      <c r="B405" s="38">
        <v>139.79</v>
      </c>
      <c r="C405" s="38" t="s">
        <v>420</v>
      </c>
      <c r="D405" s="38">
        <v>1748.8664585421682</v>
      </c>
      <c r="E405" s="38">
        <v>1606.0745798783389</v>
      </c>
      <c r="F405" s="38">
        <v>405</v>
      </c>
      <c r="G405" s="38">
        <v>11</v>
      </c>
      <c r="H405" s="38">
        <v>198</v>
      </c>
      <c r="I405" s="38"/>
      <c r="J405" s="38"/>
      <c r="K405" s="38"/>
      <c r="L405" s="38"/>
      <c r="M405" s="38"/>
    </row>
    <row r="406" spans="1:13" x14ac:dyDescent="0.25">
      <c r="A406" t="s">
        <v>1033</v>
      </c>
      <c r="B406">
        <v>140.43</v>
      </c>
      <c r="C406" t="s">
        <v>421</v>
      </c>
      <c r="D406">
        <v>1756.5035983873238</v>
      </c>
      <c r="E406">
        <v>1613.7117197234945</v>
      </c>
      <c r="F406">
        <v>406</v>
      </c>
      <c r="G406">
        <v>12</v>
      </c>
      <c r="H406">
        <v>199</v>
      </c>
    </row>
    <row r="407" spans="1:13" x14ac:dyDescent="0.25">
      <c r="A407" s="38" t="s">
        <v>1034</v>
      </c>
      <c r="B407" s="38">
        <v>140.47999999999999</v>
      </c>
      <c r="C407" s="38" t="s">
        <v>422</v>
      </c>
      <c r="D407" s="38">
        <v>1757.5327537873238</v>
      </c>
      <c r="E407" s="38">
        <v>1614.0204663557631</v>
      </c>
      <c r="F407" s="38">
        <v>407</v>
      </c>
      <c r="G407" s="38">
        <v>12</v>
      </c>
      <c r="H407" s="38">
        <v>199</v>
      </c>
      <c r="I407" s="38"/>
      <c r="J407" s="38"/>
      <c r="K407" s="38"/>
      <c r="L407" s="38"/>
      <c r="M407" s="38"/>
    </row>
    <row r="408" spans="1:13" x14ac:dyDescent="0.25">
      <c r="A408" t="s">
        <v>1035</v>
      </c>
      <c r="B408">
        <v>141.12</v>
      </c>
      <c r="C408" t="s">
        <v>423</v>
      </c>
      <c r="D408">
        <v>1765.1698936324794</v>
      </c>
      <c r="E408">
        <v>1621.6576062009187</v>
      </c>
      <c r="F408">
        <v>408</v>
      </c>
      <c r="G408">
        <v>13</v>
      </c>
      <c r="H408">
        <v>200</v>
      </c>
    </row>
    <row r="409" spans="1:13" x14ac:dyDescent="0.25">
      <c r="A409" s="38" t="s">
        <v>1036</v>
      </c>
      <c r="B409" s="38">
        <v>141.16999999999999</v>
      </c>
      <c r="C409" s="38" t="s">
        <v>424</v>
      </c>
      <c r="D409" s="38">
        <v>1766.1990490324795</v>
      </c>
      <c r="E409" s="38">
        <v>1621.9663528331873</v>
      </c>
      <c r="F409" s="38">
        <v>409</v>
      </c>
      <c r="G409" s="38">
        <v>13</v>
      </c>
      <c r="H409" s="38">
        <v>200</v>
      </c>
      <c r="I409" s="38"/>
      <c r="J409" s="38"/>
      <c r="K409" s="38"/>
      <c r="L409" s="38"/>
      <c r="M409" s="38"/>
    </row>
    <row r="410" spans="1:13" x14ac:dyDescent="0.25">
      <c r="A410" t="s">
        <v>1037</v>
      </c>
      <c r="B410">
        <v>141.81</v>
      </c>
      <c r="C410" t="s">
        <v>425</v>
      </c>
      <c r="D410">
        <v>1773.8361888776351</v>
      </c>
      <c r="E410">
        <v>1629.6034926783429</v>
      </c>
      <c r="F410">
        <v>410</v>
      </c>
      <c r="G410">
        <v>14</v>
      </c>
      <c r="H410">
        <v>201</v>
      </c>
    </row>
    <row r="411" spans="1:13" x14ac:dyDescent="0.25">
      <c r="A411" s="38" t="s">
        <v>1038</v>
      </c>
      <c r="B411" s="38">
        <v>141.87</v>
      </c>
      <c r="C411" s="38" t="s">
        <v>426</v>
      </c>
      <c r="D411" s="38">
        <v>1774.8653442776351</v>
      </c>
      <c r="E411" s="38">
        <v>1629.9122393106115</v>
      </c>
      <c r="F411" s="38">
        <v>411</v>
      </c>
      <c r="G411" s="38">
        <v>14</v>
      </c>
      <c r="H411" s="38">
        <v>201</v>
      </c>
      <c r="I411" s="38"/>
      <c r="J411" s="38"/>
      <c r="K411" s="38"/>
      <c r="L411" s="38"/>
      <c r="M411" s="38"/>
    </row>
    <row r="412" spans="1:13" x14ac:dyDescent="0.25">
      <c r="A412" t="s">
        <v>1039</v>
      </c>
      <c r="B412">
        <v>142.5</v>
      </c>
      <c r="C412" t="s">
        <v>427</v>
      </c>
      <c r="D412">
        <v>1782.5024841227907</v>
      </c>
      <c r="E412">
        <v>1637.5493791557672</v>
      </c>
      <c r="F412">
        <v>412</v>
      </c>
      <c r="G412">
        <v>15</v>
      </c>
      <c r="H412">
        <v>202</v>
      </c>
    </row>
    <row r="413" spans="1:13" x14ac:dyDescent="0.25">
      <c r="A413" s="38" t="s">
        <v>1040</v>
      </c>
      <c r="B413" s="38">
        <v>142.56</v>
      </c>
      <c r="C413" s="38" t="s">
        <v>428</v>
      </c>
      <c r="D413" s="38">
        <v>1783.5316395227908</v>
      </c>
      <c r="E413" s="38">
        <v>1637.8581257880357</v>
      </c>
      <c r="F413" s="38">
        <v>413</v>
      </c>
      <c r="G413" s="38">
        <v>15</v>
      </c>
      <c r="H413" s="38">
        <v>202</v>
      </c>
      <c r="I413" s="38"/>
      <c r="J413" s="38"/>
      <c r="K413" s="38"/>
      <c r="L413" s="38"/>
      <c r="M413" s="38"/>
    </row>
    <row r="414" spans="1:13" x14ac:dyDescent="0.25">
      <c r="A414" t="s">
        <v>1041</v>
      </c>
      <c r="B414">
        <v>143.19</v>
      </c>
      <c r="C414" t="s">
        <v>429</v>
      </c>
      <c r="D414">
        <v>1791.1687793679464</v>
      </c>
      <c r="E414">
        <v>1645.4952656331914</v>
      </c>
      <c r="F414">
        <v>414</v>
      </c>
      <c r="G414">
        <v>16</v>
      </c>
      <c r="H414">
        <v>203</v>
      </c>
    </row>
    <row r="415" spans="1:13" x14ac:dyDescent="0.25">
      <c r="A415" s="38" t="s">
        <v>1042</v>
      </c>
      <c r="B415" s="38">
        <v>143.25</v>
      </c>
      <c r="C415" s="38" t="s">
        <v>430</v>
      </c>
      <c r="D415" s="38">
        <v>1792.1979347679464</v>
      </c>
      <c r="E415" s="38">
        <v>1645.80401226546</v>
      </c>
      <c r="F415" s="38">
        <v>415</v>
      </c>
      <c r="G415" s="38">
        <v>16</v>
      </c>
      <c r="H415" s="38">
        <v>203</v>
      </c>
      <c r="I415" s="38"/>
      <c r="J415" s="38"/>
      <c r="K415" s="38"/>
      <c r="L415" s="38"/>
      <c r="M415" s="38"/>
    </row>
    <row r="416" spans="1:13" x14ac:dyDescent="0.25">
      <c r="A416" t="s">
        <v>1043</v>
      </c>
      <c r="B416">
        <v>143.88999999999999</v>
      </c>
      <c r="C416" t="s">
        <v>431</v>
      </c>
      <c r="D416">
        <v>1799.8350746131021</v>
      </c>
      <c r="E416">
        <v>1653.4411521106156</v>
      </c>
      <c r="F416">
        <v>416</v>
      </c>
      <c r="G416">
        <v>17</v>
      </c>
      <c r="H416">
        <v>204</v>
      </c>
    </row>
    <row r="417" spans="1:13" x14ac:dyDescent="0.25">
      <c r="A417" s="39" t="s">
        <v>1044</v>
      </c>
      <c r="B417" s="39">
        <v>144.19</v>
      </c>
      <c r="C417" s="39" t="s">
        <v>432</v>
      </c>
      <c r="D417" s="39">
        <v>1803.8642300131021</v>
      </c>
      <c r="E417" s="39">
        <v>1656.7498987428842</v>
      </c>
      <c r="F417" s="39">
        <v>417</v>
      </c>
      <c r="G417" s="39">
        <v>17</v>
      </c>
      <c r="H417" s="39">
        <v>204</v>
      </c>
      <c r="I417" s="39"/>
      <c r="J417" s="39"/>
      <c r="K417" s="39"/>
      <c r="L417" s="39"/>
      <c r="M417" s="39"/>
    </row>
    <row r="418" spans="1:13" x14ac:dyDescent="0.25">
      <c r="A418" t="s">
        <v>1045</v>
      </c>
      <c r="B418">
        <v>144.83000000000001</v>
      </c>
      <c r="C418" t="s">
        <v>433</v>
      </c>
      <c r="D418">
        <v>1811.5013698582577</v>
      </c>
      <c r="E418">
        <v>1664.3870385880398</v>
      </c>
      <c r="F418">
        <v>418</v>
      </c>
      <c r="G418">
        <v>1</v>
      </c>
      <c r="H418">
        <v>205</v>
      </c>
    </row>
    <row r="419" spans="1:13" x14ac:dyDescent="0.25">
      <c r="A419" s="38" t="s">
        <v>1046</v>
      </c>
      <c r="B419" s="38">
        <v>144.88</v>
      </c>
      <c r="C419" s="38" t="s">
        <v>434</v>
      </c>
      <c r="D419" s="38">
        <v>1812.5305252582577</v>
      </c>
      <c r="E419" s="38">
        <v>1664.6957852203084</v>
      </c>
      <c r="F419" s="38">
        <v>419</v>
      </c>
      <c r="G419" s="38">
        <v>1</v>
      </c>
      <c r="H419" s="38">
        <v>205</v>
      </c>
      <c r="I419" s="38"/>
      <c r="J419" s="38"/>
      <c r="K419" s="38"/>
      <c r="L419" s="38"/>
      <c r="M419" s="38"/>
    </row>
    <row r="420" spans="1:13" x14ac:dyDescent="0.25">
      <c r="A420" t="s">
        <v>1047</v>
      </c>
      <c r="B420">
        <v>145.52000000000001</v>
      </c>
      <c r="C420" t="s">
        <v>435</v>
      </c>
      <c r="D420">
        <v>1820.1676651034134</v>
      </c>
      <c r="E420">
        <v>1672.332925065464</v>
      </c>
      <c r="F420">
        <v>420</v>
      </c>
      <c r="G420">
        <v>2</v>
      </c>
      <c r="H420">
        <v>206</v>
      </c>
    </row>
    <row r="421" spans="1:13" x14ac:dyDescent="0.25">
      <c r="A421" s="38" t="s">
        <v>1048</v>
      </c>
      <c r="B421" s="38">
        <v>145.58000000000001</v>
      </c>
      <c r="C421" s="38" t="s">
        <v>436</v>
      </c>
      <c r="D421" s="38">
        <v>1821.1968205034134</v>
      </c>
      <c r="E421" s="38">
        <v>1672.6416716977326</v>
      </c>
      <c r="F421" s="38">
        <v>421</v>
      </c>
      <c r="G421" s="38">
        <v>2</v>
      </c>
      <c r="H421" s="38">
        <v>206</v>
      </c>
      <c r="I421" s="38"/>
      <c r="J421" s="38"/>
      <c r="K421" s="38"/>
      <c r="L421" s="38"/>
      <c r="M421" s="38"/>
    </row>
    <row r="422" spans="1:13" x14ac:dyDescent="0.25">
      <c r="A422" t="s">
        <v>1049</v>
      </c>
      <c r="B422">
        <v>146.21</v>
      </c>
      <c r="C422" t="s">
        <v>437</v>
      </c>
      <c r="D422">
        <v>1828.833960348569</v>
      </c>
      <c r="E422">
        <v>1680.2788115428882</v>
      </c>
      <c r="F422">
        <v>422</v>
      </c>
      <c r="G422">
        <v>3</v>
      </c>
      <c r="H422">
        <v>207</v>
      </c>
    </row>
    <row r="423" spans="1:13" x14ac:dyDescent="0.25">
      <c r="A423" s="38" t="s">
        <v>1050</v>
      </c>
      <c r="B423" s="38">
        <v>146.27000000000001</v>
      </c>
      <c r="C423" s="38" t="s">
        <v>438</v>
      </c>
      <c r="D423" s="38">
        <v>1829.863115748569</v>
      </c>
      <c r="E423" s="38">
        <v>1680.5875581751568</v>
      </c>
      <c r="F423" s="38">
        <v>423</v>
      </c>
      <c r="G423" s="38">
        <v>3</v>
      </c>
      <c r="H423" s="38">
        <v>207</v>
      </c>
      <c r="I423" s="38"/>
      <c r="J423" s="38"/>
      <c r="K423" s="38"/>
      <c r="L423" s="38"/>
      <c r="M423" s="38"/>
    </row>
    <row r="424" spans="1:13" x14ac:dyDescent="0.25">
      <c r="A424" t="s">
        <v>1051</v>
      </c>
      <c r="B424">
        <v>146.91</v>
      </c>
      <c r="C424" t="s">
        <v>439</v>
      </c>
      <c r="D424">
        <v>1837.5002555937247</v>
      </c>
      <c r="E424">
        <v>1688.2246980203124</v>
      </c>
      <c r="F424">
        <v>424</v>
      </c>
      <c r="G424">
        <v>4</v>
      </c>
      <c r="H424">
        <v>208</v>
      </c>
    </row>
    <row r="425" spans="1:13" x14ac:dyDescent="0.25">
      <c r="A425" s="38" t="s">
        <v>1052</v>
      </c>
      <c r="B425" s="38">
        <v>146.96</v>
      </c>
      <c r="C425" s="38" t="s">
        <v>440</v>
      </c>
      <c r="D425" s="38">
        <v>1838.5294109937247</v>
      </c>
      <c r="E425" s="38">
        <v>1688.533444652581</v>
      </c>
      <c r="F425" s="38">
        <v>425</v>
      </c>
      <c r="G425" s="38">
        <v>4</v>
      </c>
      <c r="H425" s="38">
        <v>208</v>
      </c>
      <c r="I425" s="38"/>
      <c r="J425" s="38"/>
      <c r="K425" s="38"/>
      <c r="L425" s="38"/>
      <c r="M425" s="38"/>
    </row>
    <row r="426" spans="1:13" x14ac:dyDescent="0.25">
      <c r="A426" t="s">
        <v>1053</v>
      </c>
      <c r="B426">
        <v>147.6</v>
      </c>
      <c r="C426" t="s">
        <v>441</v>
      </c>
      <c r="D426">
        <v>1846.1665508388803</v>
      </c>
      <c r="E426">
        <v>1696.1705844977366</v>
      </c>
      <c r="F426">
        <v>426</v>
      </c>
      <c r="G426">
        <v>5</v>
      </c>
      <c r="H426">
        <v>209</v>
      </c>
    </row>
    <row r="427" spans="1:13" x14ac:dyDescent="0.25">
      <c r="A427" s="38" t="s">
        <v>1054</v>
      </c>
      <c r="B427" s="38">
        <v>147.65</v>
      </c>
      <c r="C427" s="38" t="s">
        <v>442</v>
      </c>
      <c r="D427" s="38">
        <v>1847.1957062388803</v>
      </c>
      <c r="E427" s="38">
        <v>1696.4793311300052</v>
      </c>
      <c r="F427" s="38">
        <v>427</v>
      </c>
      <c r="G427" s="38">
        <v>5</v>
      </c>
      <c r="H427" s="38">
        <v>209</v>
      </c>
      <c r="I427" s="38"/>
      <c r="J427" s="38"/>
      <c r="K427" s="38"/>
      <c r="L427" s="38"/>
      <c r="M427" s="38"/>
    </row>
    <row r="428" spans="1:13" x14ac:dyDescent="0.25">
      <c r="A428" t="s">
        <v>1055</v>
      </c>
      <c r="B428">
        <v>148.29</v>
      </c>
      <c r="C428" t="s">
        <v>443</v>
      </c>
      <c r="D428">
        <v>1854.832846084036</v>
      </c>
      <c r="E428">
        <v>1704.1164709751608</v>
      </c>
      <c r="F428">
        <v>428</v>
      </c>
      <c r="G428">
        <v>6</v>
      </c>
      <c r="H428">
        <v>210</v>
      </c>
    </row>
    <row r="429" spans="1:13" x14ac:dyDescent="0.25">
      <c r="A429" s="38" t="s">
        <v>1056</v>
      </c>
      <c r="B429" s="38">
        <v>148.35</v>
      </c>
      <c r="C429" s="38" t="s">
        <v>444</v>
      </c>
      <c r="D429" s="38">
        <v>1855.862001484036</v>
      </c>
      <c r="E429" s="38">
        <v>1704.4252176074294</v>
      </c>
      <c r="F429" s="38">
        <v>429</v>
      </c>
      <c r="G429" s="38">
        <v>6</v>
      </c>
      <c r="H429" s="38">
        <v>210</v>
      </c>
      <c r="I429" s="38"/>
      <c r="J429" s="38"/>
      <c r="K429" s="38"/>
      <c r="L429" s="38"/>
      <c r="M429" s="38"/>
    </row>
    <row r="430" spans="1:13" x14ac:dyDescent="0.25">
      <c r="A430" t="s">
        <v>1057</v>
      </c>
      <c r="B430">
        <v>148.97999999999999</v>
      </c>
      <c r="C430" t="s">
        <v>445</v>
      </c>
      <c r="D430">
        <v>1863.4991413291916</v>
      </c>
      <c r="E430">
        <v>1712.062357452585</v>
      </c>
      <c r="F430">
        <v>430</v>
      </c>
      <c r="G430">
        <v>7</v>
      </c>
      <c r="H430">
        <v>211</v>
      </c>
    </row>
    <row r="431" spans="1:13" x14ac:dyDescent="0.25">
      <c r="A431" s="38" t="s">
        <v>1058</v>
      </c>
      <c r="B431" s="38">
        <v>149.04</v>
      </c>
      <c r="C431" s="38" t="s">
        <v>446</v>
      </c>
      <c r="D431" s="38">
        <v>1864.5282967291917</v>
      </c>
      <c r="E431" s="38">
        <v>1712.3711040848536</v>
      </c>
      <c r="F431" s="38">
        <v>431</v>
      </c>
      <c r="G431" s="38">
        <v>7</v>
      </c>
      <c r="H431" s="38">
        <v>211</v>
      </c>
      <c r="I431" s="38"/>
      <c r="J431" s="38"/>
      <c r="K431" s="38"/>
      <c r="L431" s="38"/>
      <c r="M431" s="38"/>
    </row>
    <row r="432" spans="1:13" x14ac:dyDescent="0.25">
      <c r="A432" t="s">
        <v>1059</v>
      </c>
      <c r="B432">
        <v>149.66999999999999</v>
      </c>
      <c r="C432" t="s">
        <v>447</v>
      </c>
      <c r="D432">
        <v>1872.1654365743473</v>
      </c>
      <c r="E432">
        <v>1720.0082439300093</v>
      </c>
      <c r="F432">
        <v>432</v>
      </c>
      <c r="G432">
        <v>8</v>
      </c>
      <c r="H432">
        <v>212</v>
      </c>
    </row>
    <row r="433" spans="1:13" x14ac:dyDescent="0.25">
      <c r="A433" s="38" t="s">
        <v>1060</v>
      </c>
      <c r="B433" s="38">
        <v>149.72999999999999</v>
      </c>
      <c r="C433" s="38" t="s">
        <v>448</v>
      </c>
      <c r="D433" s="38">
        <v>1873.1945919743473</v>
      </c>
      <c r="E433" s="38">
        <v>1720.3169905622779</v>
      </c>
      <c r="F433" s="38">
        <v>433</v>
      </c>
      <c r="G433" s="38">
        <v>8</v>
      </c>
      <c r="H433" s="38">
        <v>212</v>
      </c>
      <c r="I433" s="38"/>
      <c r="J433" s="38"/>
      <c r="K433" s="38"/>
      <c r="L433" s="38"/>
      <c r="M433" s="38"/>
    </row>
    <row r="434" spans="1:13" x14ac:dyDescent="0.25">
      <c r="A434" t="s">
        <v>1061</v>
      </c>
      <c r="B434">
        <v>150.37</v>
      </c>
      <c r="C434" t="s">
        <v>449</v>
      </c>
      <c r="D434">
        <v>1880.8317318195029</v>
      </c>
      <c r="E434">
        <v>1727.9541304074335</v>
      </c>
      <c r="F434">
        <v>434</v>
      </c>
      <c r="G434">
        <v>9</v>
      </c>
      <c r="H434">
        <v>213</v>
      </c>
    </row>
    <row r="435" spans="1:13" x14ac:dyDescent="0.25">
      <c r="A435" s="38" t="s">
        <v>1062</v>
      </c>
      <c r="B435" s="38">
        <v>150.41999999999999</v>
      </c>
      <c r="C435" s="38" t="s">
        <v>450</v>
      </c>
      <c r="D435" s="38">
        <v>1881.860887219503</v>
      </c>
      <c r="E435" s="38">
        <v>1728.2628770397021</v>
      </c>
      <c r="F435" s="38">
        <v>435</v>
      </c>
      <c r="G435" s="38">
        <v>9</v>
      </c>
      <c r="H435" s="38">
        <v>213</v>
      </c>
      <c r="I435" s="38"/>
      <c r="J435" s="38"/>
      <c r="K435" s="38"/>
      <c r="L435" s="38"/>
      <c r="M435" s="38"/>
    </row>
    <row r="436" spans="1:13" x14ac:dyDescent="0.25">
      <c r="A436" t="s">
        <v>1063</v>
      </c>
      <c r="B436">
        <v>151.06</v>
      </c>
      <c r="C436" t="s">
        <v>451</v>
      </c>
      <c r="D436">
        <v>1889.4980270646586</v>
      </c>
      <c r="E436">
        <v>1735.9000168848577</v>
      </c>
      <c r="F436">
        <v>436</v>
      </c>
      <c r="G436">
        <v>10</v>
      </c>
      <c r="H436">
        <v>214</v>
      </c>
    </row>
    <row r="437" spans="1:13" x14ac:dyDescent="0.25">
      <c r="A437" s="38" t="s">
        <v>1064</v>
      </c>
      <c r="B437" s="38">
        <v>151.11000000000001</v>
      </c>
      <c r="C437" s="38" t="s">
        <v>452</v>
      </c>
      <c r="D437" s="38">
        <v>1890.5271824646586</v>
      </c>
      <c r="E437" s="38">
        <v>1736.2087635171263</v>
      </c>
      <c r="F437" s="38">
        <v>437</v>
      </c>
      <c r="G437" s="38">
        <v>10</v>
      </c>
      <c r="H437" s="38">
        <v>214</v>
      </c>
      <c r="I437" s="38"/>
      <c r="J437" s="38"/>
      <c r="K437" s="38"/>
      <c r="L437" s="38"/>
      <c r="M437" s="38"/>
    </row>
    <row r="438" spans="1:13" x14ac:dyDescent="0.25">
      <c r="A438" t="s">
        <v>1065</v>
      </c>
      <c r="B438">
        <v>151.75</v>
      </c>
      <c r="C438" t="s">
        <v>453</v>
      </c>
      <c r="D438">
        <v>1898.1643223098142</v>
      </c>
      <c r="E438">
        <v>1743.8459033622819</v>
      </c>
      <c r="F438">
        <v>438</v>
      </c>
      <c r="G438">
        <v>11</v>
      </c>
      <c r="H438">
        <v>215</v>
      </c>
    </row>
    <row r="439" spans="1:13" x14ac:dyDescent="0.25">
      <c r="A439" s="38" t="s">
        <v>1066</v>
      </c>
      <c r="B439" s="38">
        <v>151.81</v>
      </c>
      <c r="C439" s="38" t="s">
        <v>454</v>
      </c>
      <c r="D439" s="38">
        <v>1899.1934777098143</v>
      </c>
      <c r="E439" s="38">
        <v>1744.1546499945505</v>
      </c>
      <c r="F439" s="38">
        <v>439</v>
      </c>
      <c r="G439" s="38">
        <v>11</v>
      </c>
      <c r="H439" s="38">
        <v>215</v>
      </c>
      <c r="I439" s="38"/>
      <c r="J439" s="38"/>
      <c r="K439" s="38"/>
      <c r="L439" s="38"/>
      <c r="M439" s="38"/>
    </row>
    <row r="440" spans="1:13" x14ac:dyDescent="0.25">
      <c r="A440" t="s">
        <v>1067</v>
      </c>
      <c r="B440">
        <v>152.44</v>
      </c>
      <c r="C440" t="s">
        <v>455</v>
      </c>
      <c r="D440">
        <v>1906.8306175549699</v>
      </c>
      <c r="E440">
        <v>1751.7917898397061</v>
      </c>
      <c r="F440">
        <v>440</v>
      </c>
      <c r="G440">
        <v>12</v>
      </c>
      <c r="H440">
        <v>216</v>
      </c>
    </row>
    <row r="441" spans="1:13" x14ac:dyDescent="0.25">
      <c r="A441" s="38" t="s">
        <v>1068</v>
      </c>
      <c r="B441" s="38">
        <v>152.5</v>
      </c>
      <c r="C441" s="38" t="s">
        <v>456</v>
      </c>
      <c r="D441" s="38">
        <v>1907.8597729549699</v>
      </c>
      <c r="E441" s="38">
        <v>1752.1005364719747</v>
      </c>
      <c r="F441" s="38">
        <v>441</v>
      </c>
      <c r="G441" s="38">
        <v>12</v>
      </c>
      <c r="H441" s="38">
        <v>216</v>
      </c>
      <c r="I441" s="38"/>
      <c r="J441" s="38"/>
      <c r="K441" s="38"/>
      <c r="L441" s="38"/>
      <c r="M441" s="38"/>
    </row>
    <row r="442" spans="1:13" x14ac:dyDescent="0.25">
      <c r="A442" t="s">
        <v>1069</v>
      </c>
      <c r="B442">
        <v>153.13</v>
      </c>
      <c r="C442" t="s">
        <v>457</v>
      </c>
      <c r="D442">
        <v>1915.4969128001255</v>
      </c>
      <c r="E442">
        <v>1759.7376763171303</v>
      </c>
      <c r="F442">
        <v>442</v>
      </c>
      <c r="G442">
        <v>13</v>
      </c>
      <c r="H442">
        <v>217</v>
      </c>
    </row>
    <row r="443" spans="1:13" x14ac:dyDescent="0.25">
      <c r="A443" s="38" t="s">
        <v>1070</v>
      </c>
      <c r="B443" s="38">
        <v>153.19</v>
      </c>
      <c r="C443" s="38" t="s">
        <v>458</v>
      </c>
      <c r="D443" s="38">
        <v>1916.5260682001256</v>
      </c>
      <c r="E443" s="38">
        <v>1760.0464229493989</v>
      </c>
      <c r="F443" s="38">
        <v>443</v>
      </c>
      <c r="G443" s="38">
        <v>13</v>
      </c>
      <c r="H443" s="38">
        <v>217</v>
      </c>
      <c r="I443" s="38"/>
      <c r="J443" s="38"/>
      <c r="K443" s="38"/>
      <c r="L443" s="38"/>
      <c r="M443" s="38"/>
    </row>
    <row r="444" spans="1:13" x14ac:dyDescent="0.25">
      <c r="A444" t="s">
        <v>1071</v>
      </c>
      <c r="B444">
        <v>153.83000000000001</v>
      </c>
      <c r="C444" t="s">
        <v>459</v>
      </c>
      <c r="D444">
        <v>1924.1632080452812</v>
      </c>
      <c r="E444">
        <v>1767.6835627945545</v>
      </c>
      <c r="F444">
        <v>444</v>
      </c>
      <c r="G444">
        <v>14</v>
      </c>
      <c r="H444">
        <v>218</v>
      </c>
    </row>
    <row r="445" spans="1:13" x14ac:dyDescent="0.25">
      <c r="A445" s="38" t="s">
        <v>1072</v>
      </c>
      <c r="B445" s="38">
        <v>153.88</v>
      </c>
      <c r="C445" s="38" t="s">
        <v>460</v>
      </c>
      <c r="D445" s="38">
        <v>1925.1923634452812</v>
      </c>
      <c r="E445" s="38">
        <v>1767.9923094268231</v>
      </c>
      <c r="F445" s="38">
        <v>445</v>
      </c>
      <c r="G445" s="38">
        <v>14</v>
      </c>
      <c r="H445" s="38">
        <v>218</v>
      </c>
      <c r="I445" s="38"/>
      <c r="J445" s="38"/>
      <c r="K445" s="38"/>
      <c r="L445" s="38"/>
      <c r="M445" s="38"/>
    </row>
    <row r="446" spans="1:13" x14ac:dyDescent="0.25">
      <c r="A446" t="s">
        <v>1073</v>
      </c>
      <c r="B446">
        <v>154.52000000000001</v>
      </c>
      <c r="C446" t="s">
        <v>461</v>
      </c>
      <c r="D446">
        <v>1932.8295032904368</v>
      </c>
      <c r="E446">
        <v>1775.6294492719787</v>
      </c>
      <c r="F446">
        <v>446</v>
      </c>
      <c r="G446">
        <v>15</v>
      </c>
      <c r="H446">
        <v>219</v>
      </c>
    </row>
    <row r="447" spans="1:13" x14ac:dyDescent="0.25">
      <c r="A447" s="38" t="s">
        <v>1074</v>
      </c>
      <c r="B447" s="38">
        <v>154.57</v>
      </c>
      <c r="C447" s="38" t="s">
        <v>462</v>
      </c>
      <c r="D447" s="38">
        <v>1933.8586586904369</v>
      </c>
      <c r="E447" s="38">
        <v>1775.9381959042473</v>
      </c>
      <c r="F447" s="38">
        <v>447</v>
      </c>
      <c r="G447" s="38">
        <v>15</v>
      </c>
      <c r="H447" s="38">
        <v>219</v>
      </c>
      <c r="I447" s="38"/>
      <c r="J447" s="38"/>
      <c r="K447" s="38"/>
      <c r="L447" s="38"/>
      <c r="M447" s="38"/>
    </row>
    <row r="448" spans="1:13" x14ac:dyDescent="0.25">
      <c r="A448" t="s">
        <v>1075</v>
      </c>
      <c r="B448">
        <v>155.21</v>
      </c>
      <c r="C448" t="s">
        <v>463</v>
      </c>
      <c r="D448">
        <v>1941.4957985355925</v>
      </c>
      <c r="E448">
        <v>1783.5753357494029</v>
      </c>
      <c r="F448">
        <v>448</v>
      </c>
      <c r="G448">
        <v>16</v>
      </c>
      <c r="H448">
        <v>220</v>
      </c>
    </row>
    <row r="449" spans="1:13" x14ac:dyDescent="0.25">
      <c r="A449" s="38" t="s">
        <v>1076</v>
      </c>
      <c r="B449" s="38">
        <v>155.27000000000001</v>
      </c>
      <c r="C449" s="38" t="s">
        <v>464</v>
      </c>
      <c r="D449" s="38">
        <v>1942.5249539355925</v>
      </c>
      <c r="E449" s="38">
        <v>1783.8840823816715</v>
      </c>
      <c r="F449" s="38">
        <v>449</v>
      </c>
      <c r="G449" s="38">
        <v>16</v>
      </c>
      <c r="H449" s="38">
        <v>220</v>
      </c>
      <c r="I449" s="38"/>
      <c r="J449" s="38"/>
      <c r="K449" s="38"/>
      <c r="L449" s="38"/>
      <c r="M449" s="38"/>
    </row>
    <row r="450" spans="1:13" x14ac:dyDescent="0.25">
      <c r="A450" t="s">
        <v>1077</v>
      </c>
      <c r="B450">
        <v>155.9</v>
      </c>
      <c r="C450" t="s">
        <v>465</v>
      </c>
      <c r="D450">
        <v>1950.1620937807481</v>
      </c>
      <c r="E450">
        <v>1791.5212222268271</v>
      </c>
      <c r="F450">
        <v>450</v>
      </c>
      <c r="G450">
        <v>17</v>
      </c>
      <c r="H450">
        <v>221</v>
      </c>
    </row>
    <row r="451" spans="1:13" x14ac:dyDescent="0.25">
      <c r="A451" s="39" t="s">
        <v>1078</v>
      </c>
      <c r="B451" s="39">
        <v>156.21</v>
      </c>
      <c r="C451" s="39" t="s">
        <v>466</v>
      </c>
      <c r="D451" s="39">
        <v>1954.1912491807482</v>
      </c>
      <c r="E451" s="39">
        <v>1794.8299688590957</v>
      </c>
      <c r="F451" s="39">
        <v>451</v>
      </c>
      <c r="G451" s="39">
        <v>17</v>
      </c>
      <c r="H451" s="39">
        <v>221</v>
      </c>
      <c r="I451" s="39"/>
      <c r="J451" s="39"/>
      <c r="K451" s="39"/>
      <c r="L451" s="39"/>
      <c r="M451" s="39"/>
    </row>
    <row r="452" spans="1:13" x14ac:dyDescent="0.25">
      <c r="A452" t="s">
        <v>1079</v>
      </c>
      <c r="B452">
        <v>156.85</v>
      </c>
      <c r="C452" t="s">
        <v>467</v>
      </c>
      <c r="D452">
        <v>1961.8283890259038</v>
      </c>
      <c r="E452">
        <v>1802.4671087042514</v>
      </c>
      <c r="F452">
        <v>452</v>
      </c>
      <c r="G452">
        <v>1</v>
      </c>
      <c r="H452">
        <v>222</v>
      </c>
    </row>
    <row r="453" spans="1:13" x14ac:dyDescent="0.25">
      <c r="A453" s="38" t="s">
        <v>1080</v>
      </c>
      <c r="B453" s="38">
        <v>156.9</v>
      </c>
      <c r="C453" s="38" t="s">
        <v>468</v>
      </c>
      <c r="D453" s="38">
        <v>1962.8575444259038</v>
      </c>
      <c r="E453" s="38">
        <v>1802.77585533652</v>
      </c>
      <c r="F453" s="38">
        <v>453</v>
      </c>
      <c r="G453" s="38">
        <v>1</v>
      </c>
      <c r="H453" s="38">
        <v>222</v>
      </c>
      <c r="I453" s="38"/>
      <c r="J453" s="38"/>
      <c r="K453" s="38"/>
      <c r="L453" s="38"/>
      <c r="M453" s="38"/>
    </row>
    <row r="454" spans="1:13" x14ac:dyDescent="0.25">
      <c r="A454" t="s">
        <v>1081</v>
      </c>
      <c r="B454">
        <v>157.54</v>
      </c>
      <c r="C454" t="s">
        <v>469</v>
      </c>
      <c r="D454">
        <v>1970.4946842710594</v>
      </c>
      <c r="E454">
        <v>1810.4129951816756</v>
      </c>
      <c r="F454">
        <v>454</v>
      </c>
      <c r="G454">
        <v>2</v>
      </c>
      <c r="H454">
        <v>223</v>
      </c>
    </row>
    <row r="455" spans="1:13" x14ac:dyDescent="0.25">
      <c r="A455" s="38" t="s">
        <v>1082</v>
      </c>
      <c r="B455" s="38">
        <v>157.59</v>
      </c>
      <c r="C455" s="38" t="s">
        <v>470</v>
      </c>
      <c r="D455" s="38">
        <v>1971.5238396710595</v>
      </c>
      <c r="E455" s="38">
        <v>1810.7217418139442</v>
      </c>
      <c r="F455" s="38">
        <v>455</v>
      </c>
      <c r="G455" s="38">
        <v>2</v>
      </c>
      <c r="H455" s="38">
        <v>223</v>
      </c>
      <c r="I455" s="38"/>
      <c r="J455" s="38"/>
      <c r="K455" s="38"/>
      <c r="L455" s="38"/>
      <c r="M455" s="38"/>
    </row>
    <row r="456" spans="1:13" x14ac:dyDescent="0.25">
      <c r="A456" t="s">
        <v>1083</v>
      </c>
      <c r="B456">
        <v>158.22999999999999</v>
      </c>
      <c r="C456" t="s">
        <v>471</v>
      </c>
      <c r="D456">
        <v>1979.1609795162151</v>
      </c>
      <c r="E456">
        <v>1818.3588816590998</v>
      </c>
      <c r="F456">
        <v>456</v>
      </c>
      <c r="G456">
        <v>3</v>
      </c>
      <c r="H456">
        <v>224</v>
      </c>
    </row>
    <row r="457" spans="1:13" x14ac:dyDescent="0.25">
      <c r="A457" s="38" t="s">
        <v>1084</v>
      </c>
      <c r="B457" s="38">
        <v>158.29</v>
      </c>
      <c r="C457" s="38" t="s">
        <v>472</v>
      </c>
      <c r="D457" s="38">
        <v>1980.1901349162151</v>
      </c>
      <c r="E457" s="38">
        <v>1818.6676282913684</v>
      </c>
      <c r="F457" s="38">
        <v>457</v>
      </c>
      <c r="G457" s="38">
        <v>3</v>
      </c>
      <c r="H457" s="38">
        <v>224</v>
      </c>
      <c r="I457" s="38"/>
      <c r="J457" s="38"/>
      <c r="K457" s="38"/>
      <c r="L457" s="38"/>
      <c r="M457" s="38"/>
    </row>
    <row r="458" spans="1:13" x14ac:dyDescent="0.25">
      <c r="A458" t="s">
        <v>1085</v>
      </c>
      <c r="B458">
        <v>158.91999999999999</v>
      </c>
      <c r="C458" t="s">
        <v>473</v>
      </c>
      <c r="D458">
        <v>1987.8272747613707</v>
      </c>
      <c r="E458">
        <v>1826.304768136524</v>
      </c>
      <c r="F458">
        <v>458</v>
      </c>
      <c r="G458">
        <v>4</v>
      </c>
      <c r="H458">
        <v>225</v>
      </c>
    </row>
    <row r="459" spans="1:13" x14ac:dyDescent="0.25">
      <c r="A459" s="38" t="s">
        <v>1086</v>
      </c>
      <c r="B459" s="38">
        <v>158.97999999999999</v>
      </c>
      <c r="C459" s="38" t="s">
        <v>474</v>
      </c>
      <c r="D459" s="38">
        <v>1988.8564301613708</v>
      </c>
      <c r="E459" s="38">
        <v>1826.6135147687926</v>
      </c>
      <c r="F459" s="38">
        <v>459</v>
      </c>
      <c r="G459" s="38">
        <v>4</v>
      </c>
      <c r="H459" s="38">
        <v>225</v>
      </c>
      <c r="I459" s="38"/>
      <c r="J459" s="38"/>
      <c r="K459" s="38"/>
      <c r="L459" s="38"/>
      <c r="M459" s="38"/>
    </row>
    <row r="460" spans="1:13" x14ac:dyDescent="0.25">
      <c r="A460" t="s">
        <v>1087</v>
      </c>
      <c r="B460">
        <v>159.61000000000001</v>
      </c>
      <c r="C460" t="s">
        <v>475</v>
      </c>
      <c r="D460">
        <v>1996.4935700065264</v>
      </c>
      <c r="E460">
        <v>1834.2506546139482</v>
      </c>
      <c r="F460">
        <v>460</v>
      </c>
      <c r="G460">
        <v>5</v>
      </c>
      <c r="H460">
        <v>226</v>
      </c>
    </row>
    <row r="461" spans="1:13" x14ac:dyDescent="0.25">
      <c r="A461" s="38" t="s">
        <v>1088</v>
      </c>
      <c r="B461" s="38">
        <v>159.66999999999999</v>
      </c>
      <c r="C461" s="38" t="s">
        <v>476</v>
      </c>
      <c r="D461" s="38">
        <v>1997.5227254065264</v>
      </c>
      <c r="E461" s="38">
        <v>1834.5594012462168</v>
      </c>
      <c r="F461" s="38">
        <v>461</v>
      </c>
      <c r="G461" s="38">
        <v>5</v>
      </c>
      <c r="H461" s="38">
        <v>226</v>
      </c>
      <c r="I461" s="38"/>
      <c r="J461" s="38"/>
      <c r="K461" s="38"/>
      <c r="L461" s="38"/>
      <c r="M461" s="38"/>
    </row>
    <row r="462" spans="1:13" x14ac:dyDescent="0.25">
      <c r="A462" t="s">
        <v>1089</v>
      </c>
      <c r="B462">
        <v>160.31</v>
      </c>
      <c r="C462" t="s">
        <v>477</v>
      </c>
      <c r="D462">
        <v>2005.159865251682</v>
      </c>
      <c r="E462">
        <v>1842.1965410913724</v>
      </c>
      <c r="F462">
        <v>462</v>
      </c>
      <c r="G462">
        <v>6</v>
      </c>
      <c r="H462">
        <v>227</v>
      </c>
    </row>
    <row r="463" spans="1:13" x14ac:dyDescent="0.25">
      <c r="A463" s="38" t="s">
        <v>1090</v>
      </c>
      <c r="B463" s="38">
        <v>160.36000000000001</v>
      </c>
      <c r="C463" s="38" t="s">
        <v>478</v>
      </c>
      <c r="D463" s="38">
        <v>2006.1890206516821</v>
      </c>
      <c r="E463" s="38">
        <v>1842.505287723641</v>
      </c>
      <c r="F463" s="38">
        <v>463</v>
      </c>
      <c r="G463" s="38">
        <v>6</v>
      </c>
      <c r="H463" s="38">
        <v>227</v>
      </c>
      <c r="I463" s="38"/>
      <c r="J463" s="38"/>
      <c r="K463" s="38"/>
      <c r="L463" s="38"/>
      <c r="M463" s="38"/>
    </row>
    <row r="464" spans="1:13" x14ac:dyDescent="0.25">
      <c r="A464" t="s">
        <v>1091</v>
      </c>
      <c r="B464">
        <v>161</v>
      </c>
      <c r="C464" t="s">
        <v>479</v>
      </c>
      <c r="D464">
        <v>2013.8261604968377</v>
      </c>
      <c r="E464">
        <v>1850.1424275687966</v>
      </c>
      <c r="F464">
        <v>464</v>
      </c>
      <c r="G464">
        <v>7</v>
      </c>
      <c r="H464">
        <v>228</v>
      </c>
    </row>
    <row r="465" spans="1:13" x14ac:dyDescent="0.25">
      <c r="A465" s="38" t="s">
        <v>1092</v>
      </c>
      <c r="B465" s="38">
        <v>161.05000000000001</v>
      </c>
      <c r="C465" s="38" t="s">
        <v>480</v>
      </c>
      <c r="D465" s="38">
        <v>2014.8553158968377</v>
      </c>
      <c r="E465" s="38">
        <v>1850.4511742010652</v>
      </c>
      <c r="F465" s="38">
        <v>465</v>
      </c>
      <c r="G465" s="38">
        <v>7</v>
      </c>
      <c r="H465" s="38">
        <v>228</v>
      </c>
      <c r="I465" s="38"/>
      <c r="J465" s="38"/>
      <c r="K465" s="38"/>
      <c r="L465" s="38"/>
      <c r="M465" s="38"/>
    </row>
    <row r="466" spans="1:13" x14ac:dyDescent="0.25">
      <c r="A466" t="s">
        <v>1093</v>
      </c>
      <c r="B466">
        <v>161.69</v>
      </c>
      <c r="C466" t="s">
        <v>481</v>
      </c>
      <c r="D466">
        <v>2022.4924557419934</v>
      </c>
      <c r="E466">
        <v>1858.0883140462208</v>
      </c>
      <c r="F466">
        <v>466</v>
      </c>
      <c r="G466">
        <v>8</v>
      </c>
      <c r="H466">
        <v>229</v>
      </c>
    </row>
    <row r="467" spans="1:13" x14ac:dyDescent="0.25">
      <c r="A467" s="38" t="s">
        <v>1094</v>
      </c>
      <c r="B467" s="38">
        <v>161.75</v>
      </c>
      <c r="C467" s="38" t="s">
        <v>482</v>
      </c>
      <c r="D467" s="38">
        <v>2023.5216111419934</v>
      </c>
      <c r="E467" s="38">
        <v>1858.3970606784894</v>
      </c>
      <c r="F467" s="38">
        <v>467</v>
      </c>
      <c r="G467" s="38">
        <v>8</v>
      </c>
      <c r="H467" s="38">
        <v>229</v>
      </c>
      <c r="I467" s="38"/>
      <c r="J467" s="38"/>
      <c r="K467" s="38"/>
      <c r="L467" s="38"/>
      <c r="M467" s="38"/>
    </row>
    <row r="468" spans="1:13" x14ac:dyDescent="0.25">
      <c r="A468" t="s">
        <v>1095</v>
      </c>
      <c r="B468">
        <v>162.38</v>
      </c>
      <c r="C468" t="s">
        <v>483</v>
      </c>
      <c r="D468">
        <v>2031.158750987149</v>
      </c>
      <c r="E468">
        <v>1866.034200523645</v>
      </c>
      <c r="F468">
        <v>468</v>
      </c>
      <c r="G468">
        <v>9</v>
      </c>
      <c r="H468">
        <v>230</v>
      </c>
    </row>
    <row r="469" spans="1:13" x14ac:dyDescent="0.25">
      <c r="A469" s="38" t="s">
        <v>1096</v>
      </c>
      <c r="B469" s="38">
        <v>162.44</v>
      </c>
      <c r="C469" s="38" t="s">
        <v>484</v>
      </c>
      <c r="D469" s="38">
        <v>2032.187906387149</v>
      </c>
      <c r="E469" s="38">
        <v>1866.3429471559136</v>
      </c>
      <c r="F469" s="38">
        <v>469</v>
      </c>
      <c r="G469" s="38">
        <v>9</v>
      </c>
      <c r="H469" s="38">
        <v>230</v>
      </c>
      <c r="I469" s="38"/>
      <c r="J469" s="38"/>
      <c r="K469" s="38"/>
      <c r="L469" s="38"/>
      <c r="M469" s="38"/>
    </row>
    <row r="470" spans="1:13" x14ac:dyDescent="0.25">
      <c r="A470" t="s">
        <v>1097</v>
      </c>
      <c r="B470">
        <v>163.08000000000001</v>
      </c>
      <c r="C470" t="s">
        <v>485</v>
      </c>
      <c r="D470">
        <v>2039.8250462323047</v>
      </c>
      <c r="E470">
        <v>1873.9800870010693</v>
      </c>
      <c r="F470">
        <v>470</v>
      </c>
      <c r="G470">
        <v>10</v>
      </c>
      <c r="H470">
        <v>231</v>
      </c>
    </row>
    <row r="471" spans="1:13" x14ac:dyDescent="0.25">
      <c r="A471" s="38" t="s">
        <v>1098</v>
      </c>
      <c r="B471" s="38">
        <v>163.13</v>
      </c>
      <c r="C471" s="38" t="s">
        <v>486</v>
      </c>
      <c r="D471" s="38">
        <v>2040.8542016323047</v>
      </c>
      <c r="E471" s="38">
        <v>1874.2888336333378</v>
      </c>
      <c r="F471" s="38">
        <v>471</v>
      </c>
      <c r="G471" s="38">
        <v>10</v>
      </c>
      <c r="H471" s="38">
        <v>231</v>
      </c>
      <c r="I471" s="38"/>
      <c r="J471" s="38"/>
      <c r="K471" s="38"/>
      <c r="L471" s="38"/>
      <c r="M471" s="38"/>
    </row>
    <row r="472" spans="1:13" x14ac:dyDescent="0.25">
      <c r="A472" t="s">
        <v>1099</v>
      </c>
      <c r="B472">
        <v>163.77000000000001</v>
      </c>
      <c r="C472" t="s">
        <v>487</v>
      </c>
      <c r="D472">
        <v>2048.4913414774605</v>
      </c>
      <c r="E472">
        <v>1881.9259734784935</v>
      </c>
      <c r="F472">
        <v>472</v>
      </c>
      <c r="G472">
        <v>11</v>
      </c>
      <c r="H472">
        <v>232</v>
      </c>
    </row>
    <row r="473" spans="1:13" x14ac:dyDescent="0.25">
      <c r="A473" s="38" t="s">
        <v>1100</v>
      </c>
      <c r="B473" s="38">
        <v>163.82</v>
      </c>
      <c r="C473" s="38" t="s">
        <v>488</v>
      </c>
      <c r="D473" s="38">
        <v>2049.5204968774606</v>
      </c>
      <c r="E473" s="38">
        <v>1882.2347201107621</v>
      </c>
      <c r="F473" s="38">
        <v>473</v>
      </c>
      <c r="G473" s="38">
        <v>11</v>
      </c>
      <c r="H473" s="38">
        <v>232</v>
      </c>
      <c r="I473" s="38"/>
      <c r="J473" s="38"/>
      <c r="K473" s="38"/>
      <c r="L473" s="38"/>
      <c r="M473" s="38"/>
    </row>
    <row r="474" spans="1:13" x14ac:dyDescent="0.25">
      <c r="A474" t="s">
        <v>1101</v>
      </c>
      <c r="B474">
        <v>164.46</v>
      </c>
      <c r="C474" t="s">
        <v>489</v>
      </c>
      <c r="D474">
        <v>2057.1576367226162</v>
      </c>
      <c r="E474">
        <v>1889.8718599559177</v>
      </c>
      <c r="F474">
        <v>474</v>
      </c>
      <c r="G474">
        <v>12</v>
      </c>
      <c r="H474">
        <v>233</v>
      </c>
    </row>
    <row r="475" spans="1:13" x14ac:dyDescent="0.25">
      <c r="A475" s="38" t="s">
        <v>1102</v>
      </c>
      <c r="B475" s="38">
        <v>164.52</v>
      </c>
      <c r="C475" s="38" t="s">
        <v>490</v>
      </c>
      <c r="D475" s="38">
        <v>2058.1867921226162</v>
      </c>
      <c r="E475" s="38">
        <v>1890.1806065881863</v>
      </c>
      <c r="F475" s="38">
        <v>475</v>
      </c>
      <c r="G475" s="38">
        <v>12</v>
      </c>
      <c r="H475" s="38">
        <v>233</v>
      </c>
      <c r="I475" s="38"/>
      <c r="J475" s="38"/>
      <c r="K475" s="38"/>
      <c r="L475" s="38"/>
      <c r="M475" s="38"/>
    </row>
    <row r="476" spans="1:13" x14ac:dyDescent="0.25">
      <c r="A476" t="s">
        <v>1103</v>
      </c>
      <c r="B476">
        <v>165.15</v>
      </c>
      <c r="C476" t="s">
        <v>491</v>
      </c>
      <c r="D476">
        <v>2065.8239319677718</v>
      </c>
      <c r="E476">
        <v>1897.8177464333419</v>
      </c>
      <c r="F476">
        <v>476</v>
      </c>
      <c r="G476">
        <v>13</v>
      </c>
      <c r="H476">
        <v>234</v>
      </c>
    </row>
    <row r="477" spans="1:13" x14ac:dyDescent="0.25">
      <c r="A477" s="38" t="s">
        <v>1104</v>
      </c>
      <c r="B477" s="38">
        <v>165.21</v>
      </c>
      <c r="C477" s="38" t="s">
        <v>492</v>
      </c>
      <c r="D477" s="38">
        <v>2066.8530873677719</v>
      </c>
      <c r="E477" s="38">
        <v>1898.1264930656105</v>
      </c>
      <c r="F477" s="38">
        <v>477</v>
      </c>
      <c r="G477" s="38">
        <v>13</v>
      </c>
      <c r="H477" s="38">
        <v>234</v>
      </c>
      <c r="I477" s="38"/>
      <c r="J477" s="38"/>
      <c r="K477" s="38"/>
      <c r="L477" s="38"/>
      <c r="M477" s="38"/>
    </row>
    <row r="478" spans="1:13" x14ac:dyDescent="0.25">
      <c r="A478" t="s">
        <v>1105</v>
      </c>
      <c r="B478">
        <v>165.84</v>
      </c>
      <c r="C478" t="s">
        <v>493</v>
      </c>
      <c r="D478">
        <v>2074.4902272129275</v>
      </c>
      <c r="E478">
        <v>1905.7636329107661</v>
      </c>
      <c r="F478">
        <v>478</v>
      </c>
      <c r="G478">
        <v>14</v>
      </c>
      <c r="H478">
        <v>235</v>
      </c>
    </row>
    <row r="479" spans="1:13" x14ac:dyDescent="0.25">
      <c r="A479" s="38" t="s">
        <v>1106</v>
      </c>
      <c r="B479" s="38">
        <v>165.9</v>
      </c>
      <c r="C479" s="38" t="s">
        <v>494</v>
      </c>
      <c r="D479" s="38">
        <v>2075.5193826129275</v>
      </c>
      <c r="E479" s="38">
        <v>1906.0723795430347</v>
      </c>
      <c r="F479" s="38">
        <v>479</v>
      </c>
      <c r="G479" s="38">
        <v>14</v>
      </c>
      <c r="H479" s="38">
        <v>235</v>
      </c>
      <c r="I479" s="38"/>
      <c r="J479" s="38"/>
      <c r="K479" s="38"/>
      <c r="L479" s="38"/>
      <c r="M479" s="38"/>
    </row>
    <row r="480" spans="1:13" x14ac:dyDescent="0.25">
      <c r="A480" t="s">
        <v>1107</v>
      </c>
      <c r="B480">
        <v>166.54</v>
      </c>
      <c r="C480" t="s">
        <v>495</v>
      </c>
      <c r="D480">
        <v>2083.1565224580831</v>
      </c>
      <c r="E480">
        <v>1913.7095193881903</v>
      </c>
      <c r="F480">
        <v>480</v>
      </c>
      <c r="G480">
        <v>15</v>
      </c>
      <c r="H480">
        <v>236</v>
      </c>
    </row>
    <row r="481" spans="1:13" x14ac:dyDescent="0.25">
      <c r="A481" s="38" t="s">
        <v>1108</v>
      </c>
      <c r="B481" s="38">
        <v>166.59</v>
      </c>
      <c r="C481" s="38" t="s">
        <v>496</v>
      </c>
      <c r="D481" s="38">
        <v>2084.1856778580832</v>
      </c>
      <c r="E481" s="38">
        <v>1914.0182660204589</v>
      </c>
      <c r="F481" s="38">
        <v>481</v>
      </c>
      <c r="G481" s="38">
        <v>15</v>
      </c>
      <c r="H481" s="38">
        <v>236</v>
      </c>
      <c r="I481" s="38"/>
      <c r="J481" s="38"/>
      <c r="K481" s="38"/>
      <c r="L481" s="38"/>
      <c r="M481" s="38"/>
    </row>
    <row r="482" spans="1:13" x14ac:dyDescent="0.25">
      <c r="A482" t="s">
        <v>1109</v>
      </c>
      <c r="B482">
        <v>167.23</v>
      </c>
      <c r="C482" t="s">
        <v>497</v>
      </c>
      <c r="D482">
        <v>2091.8228177032388</v>
      </c>
      <c r="E482">
        <v>1921.6554058656145</v>
      </c>
      <c r="F482">
        <v>482</v>
      </c>
      <c r="G482">
        <v>16</v>
      </c>
      <c r="H482">
        <v>237</v>
      </c>
    </row>
    <row r="483" spans="1:13" x14ac:dyDescent="0.25">
      <c r="A483" s="38" t="s">
        <v>1110</v>
      </c>
      <c r="B483" s="38">
        <v>167.28</v>
      </c>
      <c r="C483" s="38" t="s">
        <v>498</v>
      </c>
      <c r="D483" s="38">
        <v>2092.8519731032388</v>
      </c>
      <c r="E483" s="38">
        <v>1921.9641524978831</v>
      </c>
      <c r="F483" s="38">
        <v>483</v>
      </c>
      <c r="G483" s="38">
        <v>16</v>
      </c>
      <c r="H483" s="38">
        <v>237</v>
      </c>
      <c r="I483" s="38"/>
      <c r="J483" s="38"/>
      <c r="K483" s="38"/>
      <c r="L483" s="38"/>
      <c r="M483" s="38"/>
    </row>
    <row r="484" spans="1:13" x14ac:dyDescent="0.25">
      <c r="A484" t="s">
        <v>1111</v>
      </c>
      <c r="B484">
        <v>167.92</v>
      </c>
      <c r="C484" t="s">
        <v>499</v>
      </c>
      <c r="D484">
        <v>2100.4891129483944</v>
      </c>
      <c r="E484">
        <v>1929.6012923430387</v>
      </c>
      <c r="F484">
        <v>484</v>
      </c>
      <c r="G484">
        <v>17</v>
      </c>
      <c r="H484">
        <v>238</v>
      </c>
    </row>
    <row r="485" spans="1:13" x14ac:dyDescent="0.25">
      <c r="A485" s="39" t="s">
        <v>1112</v>
      </c>
      <c r="B485" s="39">
        <v>168.23</v>
      </c>
      <c r="C485" s="39" t="s">
        <v>500</v>
      </c>
      <c r="D485" s="39">
        <v>2104.5182683483945</v>
      </c>
      <c r="E485" s="39">
        <v>1932.9100389753073</v>
      </c>
      <c r="F485" s="39">
        <v>485</v>
      </c>
      <c r="G485" s="39">
        <v>17</v>
      </c>
      <c r="H485" s="39">
        <v>238</v>
      </c>
      <c r="I485" s="39"/>
      <c r="J485" s="39"/>
      <c r="K485" s="39"/>
      <c r="L485" s="39"/>
      <c r="M485" s="39"/>
    </row>
    <row r="486" spans="1:13" x14ac:dyDescent="0.25">
      <c r="A486" t="s">
        <v>1113</v>
      </c>
      <c r="B486">
        <v>168.86</v>
      </c>
      <c r="C486" t="s">
        <v>501</v>
      </c>
      <c r="D486">
        <v>2112.1554081935501</v>
      </c>
      <c r="E486">
        <v>1940.5471788204629</v>
      </c>
      <c r="F486">
        <v>486</v>
      </c>
      <c r="G486">
        <v>1</v>
      </c>
      <c r="H486">
        <v>239</v>
      </c>
    </row>
    <row r="487" spans="1:13" x14ac:dyDescent="0.25">
      <c r="A487" s="38" t="s">
        <v>1114</v>
      </c>
      <c r="B487" s="38">
        <v>168.92</v>
      </c>
      <c r="C487" s="38" t="s">
        <v>502</v>
      </c>
      <c r="D487" s="38">
        <v>2113.1845635935501</v>
      </c>
      <c r="E487" s="38">
        <v>1940.8559254527315</v>
      </c>
      <c r="F487" s="38">
        <v>487</v>
      </c>
      <c r="G487" s="38">
        <v>1</v>
      </c>
      <c r="H487" s="38">
        <v>239</v>
      </c>
      <c r="I487" s="38"/>
      <c r="J487" s="38"/>
      <c r="K487" s="38"/>
      <c r="L487" s="38"/>
      <c r="M487" s="38"/>
    </row>
    <row r="488" spans="1:13" x14ac:dyDescent="0.25">
      <c r="A488" t="s">
        <v>1115</v>
      </c>
      <c r="B488">
        <v>169.55</v>
      </c>
      <c r="C488" t="s">
        <v>503</v>
      </c>
      <c r="D488">
        <v>2120.8217034387058</v>
      </c>
      <c r="E488">
        <v>1948.4930652978871</v>
      </c>
      <c r="F488">
        <v>488</v>
      </c>
      <c r="G488">
        <v>2</v>
      </c>
      <c r="H488">
        <v>240</v>
      </c>
    </row>
    <row r="489" spans="1:13" x14ac:dyDescent="0.25">
      <c r="A489" s="38" t="s">
        <v>1116</v>
      </c>
      <c r="B489" s="38">
        <v>169.61</v>
      </c>
      <c r="C489" s="38" t="s">
        <v>504</v>
      </c>
      <c r="D489" s="38">
        <v>2121.8508588387058</v>
      </c>
      <c r="E489" s="38">
        <v>1948.8018119301557</v>
      </c>
      <c r="F489" s="38">
        <v>489</v>
      </c>
      <c r="G489" s="38">
        <v>2</v>
      </c>
      <c r="H489" s="38">
        <v>240</v>
      </c>
      <c r="I489" s="38"/>
      <c r="J489" s="38"/>
      <c r="K489" s="38"/>
      <c r="L489" s="38"/>
      <c r="M489" s="38"/>
    </row>
    <row r="490" spans="1:13" x14ac:dyDescent="0.25">
      <c r="A490" t="s">
        <v>1117</v>
      </c>
      <c r="B490">
        <v>170.25</v>
      </c>
      <c r="C490" t="s">
        <v>505</v>
      </c>
      <c r="D490">
        <v>2129.4879986838614</v>
      </c>
      <c r="E490">
        <v>1956.4389517753114</v>
      </c>
      <c r="F490">
        <v>490</v>
      </c>
      <c r="G490">
        <v>3</v>
      </c>
      <c r="H490">
        <v>241</v>
      </c>
    </row>
    <row r="491" spans="1:13" x14ac:dyDescent="0.25">
      <c r="A491" s="38" t="s">
        <v>1118</v>
      </c>
      <c r="B491" s="38">
        <v>170.3</v>
      </c>
      <c r="C491" s="38" t="s">
        <v>506</v>
      </c>
      <c r="D491" s="38">
        <v>2130.5171540838614</v>
      </c>
      <c r="E491" s="38">
        <v>1956.7476984075799</v>
      </c>
      <c r="F491" s="38">
        <v>491</v>
      </c>
      <c r="G491" s="38">
        <v>3</v>
      </c>
      <c r="H491" s="38">
        <v>241</v>
      </c>
      <c r="I491" s="38"/>
      <c r="J491" s="38"/>
      <c r="K491" s="38"/>
      <c r="L491" s="38"/>
      <c r="M491" s="38"/>
    </row>
    <row r="492" spans="1:13" x14ac:dyDescent="0.25">
      <c r="A492" t="s">
        <v>1119</v>
      </c>
      <c r="B492">
        <v>170.94</v>
      </c>
      <c r="C492" t="s">
        <v>507</v>
      </c>
      <c r="D492">
        <v>2138.1542939290171</v>
      </c>
      <c r="E492">
        <v>1964.3848382527356</v>
      </c>
      <c r="F492">
        <v>492</v>
      </c>
      <c r="G492">
        <v>4</v>
      </c>
      <c r="H492">
        <v>242</v>
      </c>
    </row>
    <row r="493" spans="1:13" x14ac:dyDescent="0.25">
      <c r="A493" s="38" t="s">
        <v>1120</v>
      </c>
      <c r="B493" s="38">
        <v>170.99</v>
      </c>
      <c r="C493" s="38" t="s">
        <v>508</v>
      </c>
      <c r="D493" s="38">
        <v>2139.1834493290171</v>
      </c>
      <c r="E493" s="38">
        <v>1964.6935848850042</v>
      </c>
      <c r="F493" s="38">
        <v>493</v>
      </c>
      <c r="G493" s="38">
        <v>4</v>
      </c>
      <c r="H493" s="38">
        <v>242</v>
      </c>
      <c r="I493" s="38"/>
      <c r="J493" s="38"/>
      <c r="K493" s="38"/>
      <c r="L493" s="38"/>
      <c r="M493" s="38"/>
    </row>
    <row r="494" spans="1:13" x14ac:dyDescent="0.25">
      <c r="A494" t="s">
        <v>1121</v>
      </c>
      <c r="B494">
        <v>171.63</v>
      </c>
      <c r="C494" t="s">
        <v>509</v>
      </c>
      <c r="D494">
        <v>2146.8205891741727</v>
      </c>
      <c r="E494">
        <v>1972.3307247301598</v>
      </c>
      <c r="F494">
        <v>494</v>
      </c>
      <c r="G494">
        <v>5</v>
      </c>
      <c r="H494">
        <v>243</v>
      </c>
    </row>
    <row r="495" spans="1:13" x14ac:dyDescent="0.25">
      <c r="A495" s="38" t="s">
        <v>1122</v>
      </c>
      <c r="B495" s="38">
        <v>171.69</v>
      </c>
      <c r="C495" s="38" t="s">
        <v>510</v>
      </c>
      <c r="D495" s="38">
        <v>2147.8497445741727</v>
      </c>
      <c r="E495" s="38">
        <v>1972.6394713624284</v>
      </c>
      <c r="F495" s="38">
        <v>495</v>
      </c>
      <c r="G495" s="38">
        <v>5</v>
      </c>
      <c r="H495" s="38">
        <v>243</v>
      </c>
      <c r="I495" s="38"/>
      <c r="J495" s="38"/>
      <c r="K495" s="38"/>
      <c r="L495" s="38"/>
      <c r="M495" s="38"/>
    </row>
    <row r="496" spans="1:13" x14ac:dyDescent="0.25">
      <c r="A496" t="s">
        <v>1123</v>
      </c>
      <c r="B496">
        <v>172.32</v>
      </c>
      <c r="C496" t="s">
        <v>511</v>
      </c>
      <c r="D496">
        <v>2155.4868844193284</v>
      </c>
      <c r="E496">
        <v>1980.276611207584</v>
      </c>
      <c r="F496">
        <v>496</v>
      </c>
      <c r="G496">
        <v>6</v>
      </c>
      <c r="H496">
        <v>244</v>
      </c>
    </row>
    <row r="497" spans="1:13" x14ac:dyDescent="0.25">
      <c r="A497" s="38" t="s">
        <v>1124</v>
      </c>
      <c r="B497" s="38">
        <v>172.38</v>
      </c>
      <c r="C497" s="38" t="s">
        <v>512</v>
      </c>
      <c r="D497" s="38">
        <v>2156.5160398193284</v>
      </c>
      <c r="E497" s="38">
        <v>1980.5853578398526</v>
      </c>
      <c r="F497" s="38">
        <v>497</v>
      </c>
      <c r="G497" s="38">
        <v>6</v>
      </c>
      <c r="H497" s="38">
        <v>244</v>
      </c>
      <c r="I497" s="38"/>
      <c r="J497" s="38"/>
      <c r="K497" s="38"/>
      <c r="L497" s="38"/>
      <c r="M497" s="38"/>
    </row>
    <row r="498" spans="1:13" x14ac:dyDescent="0.25">
      <c r="A498" t="s">
        <v>1125</v>
      </c>
      <c r="B498">
        <v>173.02</v>
      </c>
      <c r="C498" t="s">
        <v>513</v>
      </c>
      <c r="D498">
        <v>2164.153179664484</v>
      </c>
      <c r="E498">
        <v>1988.2224976850082</v>
      </c>
      <c r="F498">
        <v>498</v>
      </c>
      <c r="G498">
        <v>7</v>
      </c>
      <c r="H498">
        <v>245</v>
      </c>
    </row>
    <row r="499" spans="1:13" x14ac:dyDescent="0.25">
      <c r="A499" s="38" t="s">
        <v>1126</v>
      </c>
      <c r="B499" s="38">
        <v>173.07</v>
      </c>
      <c r="C499" s="38" t="s">
        <v>514</v>
      </c>
      <c r="D499" s="38">
        <v>2165.1823350644841</v>
      </c>
      <c r="E499" s="38">
        <v>1988.5312443172768</v>
      </c>
      <c r="F499" s="38">
        <v>499</v>
      </c>
      <c r="G499" s="38">
        <v>7</v>
      </c>
      <c r="H499" s="38">
        <v>245</v>
      </c>
      <c r="I499" s="38"/>
      <c r="J499" s="38"/>
      <c r="K499" s="38"/>
      <c r="L499" s="38"/>
      <c r="M499" s="38"/>
    </row>
    <row r="500" spans="1:13" x14ac:dyDescent="0.25">
      <c r="A500" t="s">
        <v>1127</v>
      </c>
      <c r="B500">
        <v>173.71</v>
      </c>
      <c r="C500" t="s">
        <v>515</v>
      </c>
      <c r="D500">
        <v>2172.8194749096397</v>
      </c>
      <c r="E500">
        <v>1996.1683841624324</v>
      </c>
      <c r="F500">
        <v>500</v>
      </c>
      <c r="G500">
        <v>8</v>
      </c>
      <c r="H500">
        <v>246</v>
      </c>
    </row>
    <row r="501" spans="1:13" x14ac:dyDescent="0.25">
      <c r="A501" s="38" t="s">
        <v>1128</v>
      </c>
      <c r="B501" s="38">
        <v>173.76</v>
      </c>
      <c r="C501" s="38" t="s">
        <v>516</v>
      </c>
      <c r="D501" s="38">
        <v>2173.8486303096397</v>
      </c>
      <c r="E501" s="38">
        <v>1996.477130794701</v>
      </c>
      <c r="F501" s="38">
        <v>501</v>
      </c>
      <c r="G501" s="38">
        <v>8</v>
      </c>
      <c r="H501" s="38">
        <v>246</v>
      </c>
      <c r="I501" s="38"/>
      <c r="J501" s="38"/>
      <c r="K501" s="38"/>
      <c r="L501" s="38"/>
      <c r="M501" s="38"/>
    </row>
    <row r="502" spans="1:13" x14ac:dyDescent="0.25">
      <c r="A502" t="s">
        <v>1129</v>
      </c>
      <c r="B502">
        <v>174.4</v>
      </c>
      <c r="C502" t="s">
        <v>517</v>
      </c>
      <c r="D502">
        <v>2181.4857701547953</v>
      </c>
      <c r="E502">
        <v>2004.1142706398566</v>
      </c>
      <c r="F502">
        <v>502</v>
      </c>
      <c r="G502">
        <v>9</v>
      </c>
      <c r="H502">
        <v>247</v>
      </c>
    </row>
    <row r="503" spans="1:13" x14ac:dyDescent="0.25">
      <c r="A503" s="38" t="s">
        <v>1130</v>
      </c>
      <c r="B503" s="38">
        <v>174.46</v>
      </c>
      <c r="C503" s="38" t="s">
        <v>518</v>
      </c>
      <c r="D503" s="38">
        <v>2182.5149255547954</v>
      </c>
      <c r="E503" s="38">
        <v>2004.4230172721252</v>
      </c>
      <c r="F503" s="38">
        <v>503</v>
      </c>
      <c r="G503" s="38">
        <v>9</v>
      </c>
      <c r="H503" s="38">
        <v>247</v>
      </c>
      <c r="I503" s="38"/>
      <c r="J503" s="38"/>
      <c r="K503" s="38"/>
      <c r="L503" s="38"/>
      <c r="M503" s="38"/>
    </row>
    <row r="504" spans="1:13" x14ac:dyDescent="0.25">
      <c r="A504" t="s">
        <v>1131</v>
      </c>
      <c r="B504">
        <v>175.09</v>
      </c>
      <c r="C504" t="s">
        <v>519</v>
      </c>
      <c r="D504">
        <v>2190.152065399951</v>
      </c>
      <c r="E504">
        <v>2012.0601571172808</v>
      </c>
      <c r="F504">
        <v>504</v>
      </c>
      <c r="G504">
        <v>10</v>
      </c>
      <c r="H504">
        <v>248</v>
      </c>
    </row>
    <row r="505" spans="1:13" x14ac:dyDescent="0.25">
      <c r="A505" s="38" t="s">
        <v>1132</v>
      </c>
      <c r="B505" s="38">
        <v>175.15</v>
      </c>
      <c r="C505" s="38" t="s">
        <v>520</v>
      </c>
      <c r="D505" s="38">
        <v>2191.181220799951</v>
      </c>
      <c r="E505" s="38">
        <v>2012.3689037495494</v>
      </c>
      <c r="F505" s="38">
        <v>505</v>
      </c>
      <c r="G505" s="38">
        <v>10</v>
      </c>
      <c r="H505" s="38">
        <v>248</v>
      </c>
      <c r="I505" s="38"/>
      <c r="J505" s="38"/>
      <c r="K505" s="38"/>
      <c r="L505" s="38"/>
      <c r="M505" s="38"/>
    </row>
    <row r="506" spans="1:13" x14ac:dyDescent="0.25">
      <c r="A506" t="s">
        <v>1133</v>
      </c>
      <c r="B506">
        <v>175.78</v>
      </c>
      <c r="C506" t="s">
        <v>521</v>
      </c>
      <c r="D506">
        <v>2198.8183606451066</v>
      </c>
      <c r="E506">
        <v>2020.006043594705</v>
      </c>
      <c r="F506">
        <v>506</v>
      </c>
      <c r="G506">
        <v>11</v>
      </c>
      <c r="H506">
        <v>249</v>
      </c>
    </row>
    <row r="507" spans="1:13" x14ac:dyDescent="0.25">
      <c r="A507" s="38" t="s">
        <v>1134</v>
      </c>
      <c r="B507" s="38">
        <v>175.84</v>
      </c>
      <c r="C507" s="38" t="s">
        <v>522</v>
      </c>
      <c r="D507" s="38">
        <v>2199.8475160451067</v>
      </c>
      <c r="E507" s="38">
        <v>2020.3147902269736</v>
      </c>
      <c r="F507" s="38">
        <v>507</v>
      </c>
      <c r="G507" s="38">
        <v>11</v>
      </c>
      <c r="H507" s="38">
        <v>249</v>
      </c>
      <c r="I507" s="38"/>
      <c r="J507" s="38"/>
      <c r="K507" s="38"/>
      <c r="L507" s="38"/>
      <c r="M507" s="38"/>
    </row>
    <row r="508" spans="1:13" x14ac:dyDescent="0.25">
      <c r="A508" t="s">
        <v>1135</v>
      </c>
      <c r="B508">
        <v>176.48</v>
      </c>
      <c r="C508" t="s">
        <v>523</v>
      </c>
      <c r="D508">
        <v>2207.4846558902623</v>
      </c>
      <c r="E508">
        <v>2027.9519300721292</v>
      </c>
      <c r="F508">
        <v>508</v>
      </c>
      <c r="G508">
        <v>12</v>
      </c>
      <c r="H508">
        <v>250</v>
      </c>
    </row>
    <row r="509" spans="1:13" x14ac:dyDescent="0.25">
      <c r="A509" s="38" t="s">
        <v>1136</v>
      </c>
      <c r="B509" s="38">
        <v>176.53</v>
      </c>
      <c r="C509" s="38" t="s">
        <v>524</v>
      </c>
      <c r="D509" s="38">
        <v>2208.5138112902623</v>
      </c>
      <c r="E509" s="38">
        <v>2028.2606767043978</v>
      </c>
      <c r="F509" s="38">
        <v>509</v>
      </c>
      <c r="G509" s="38">
        <v>12</v>
      </c>
      <c r="H509" s="38">
        <v>250</v>
      </c>
      <c r="I509" s="38"/>
      <c r="J509" s="38"/>
      <c r="K509" s="38"/>
      <c r="L509" s="38"/>
      <c r="M509" s="38"/>
    </row>
    <row r="510" spans="1:13" x14ac:dyDescent="0.25">
      <c r="A510" t="s">
        <v>1137</v>
      </c>
      <c r="B510">
        <v>177.17</v>
      </c>
      <c r="C510" t="s">
        <v>525</v>
      </c>
      <c r="D510">
        <v>2216.1509511354179</v>
      </c>
      <c r="E510">
        <v>2035.8978165495535</v>
      </c>
      <c r="F510">
        <v>510</v>
      </c>
      <c r="G510">
        <v>13</v>
      </c>
      <c r="H510">
        <v>251</v>
      </c>
    </row>
    <row r="511" spans="1:13" x14ac:dyDescent="0.25">
      <c r="A511" s="38" t="s">
        <v>1138</v>
      </c>
      <c r="B511" s="38">
        <v>177.22</v>
      </c>
      <c r="C511" s="38" t="s">
        <v>526</v>
      </c>
      <c r="D511" s="38">
        <v>2217.180106535418</v>
      </c>
      <c r="E511" s="38">
        <v>2036.206563181822</v>
      </c>
      <c r="F511" s="38">
        <v>511</v>
      </c>
      <c r="G511" s="38">
        <v>13</v>
      </c>
      <c r="H511" s="38">
        <v>251</v>
      </c>
      <c r="I511" s="38"/>
      <c r="J511" s="38"/>
      <c r="K511" s="38"/>
      <c r="L511" s="38"/>
      <c r="M511" s="38"/>
    </row>
    <row r="512" spans="1:13" x14ac:dyDescent="0.25">
      <c r="A512" t="s">
        <v>1139</v>
      </c>
      <c r="B512">
        <v>177.86</v>
      </c>
      <c r="C512" t="s">
        <v>527</v>
      </c>
      <c r="D512">
        <v>2224.8172463805736</v>
      </c>
      <c r="E512">
        <v>2043.8437030269777</v>
      </c>
      <c r="F512">
        <v>512</v>
      </c>
      <c r="G512">
        <v>14</v>
      </c>
      <c r="H512">
        <v>252</v>
      </c>
    </row>
    <row r="513" spans="1:13" x14ac:dyDescent="0.25">
      <c r="A513" s="38" t="s">
        <v>1140</v>
      </c>
      <c r="B513" s="38">
        <v>177.92</v>
      </c>
      <c r="C513" s="38" t="s">
        <v>528</v>
      </c>
      <c r="D513" s="38">
        <v>2225.8464017805736</v>
      </c>
      <c r="E513" s="38">
        <v>2044.1524496592463</v>
      </c>
      <c r="F513" s="38">
        <v>513</v>
      </c>
      <c r="G513" s="38">
        <v>14</v>
      </c>
      <c r="H513" s="38">
        <v>252</v>
      </c>
      <c r="I513" s="38"/>
      <c r="J513" s="38"/>
      <c r="K513" s="38"/>
      <c r="L513" s="38"/>
      <c r="M513" s="38"/>
    </row>
    <row r="514" spans="1:13" x14ac:dyDescent="0.25">
      <c r="A514" t="s">
        <v>1141</v>
      </c>
      <c r="B514">
        <v>178.55</v>
      </c>
      <c r="C514" t="s">
        <v>529</v>
      </c>
      <c r="D514">
        <v>2233.4835416257292</v>
      </c>
      <c r="E514">
        <v>2051.7895895044021</v>
      </c>
      <c r="F514">
        <v>514</v>
      </c>
      <c r="G514">
        <v>15</v>
      </c>
      <c r="H514">
        <v>253</v>
      </c>
    </row>
    <row r="515" spans="1:13" x14ac:dyDescent="0.25">
      <c r="A515" s="38" t="s">
        <v>1142</v>
      </c>
      <c r="B515" s="38">
        <v>178.61</v>
      </c>
      <c r="C515" s="38" t="s">
        <v>530</v>
      </c>
      <c r="D515" s="38">
        <v>2234.5126970257293</v>
      </c>
      <c r="E515" s="38">
        <v>2052.0983361366707</v>
      </c>
      <c r="F515" s="38">
        <v>515</v>
      </c>
      <c r="G515" s="38">
        <v>15</v>
      </c>
      <c r="H515" s="38">
        <v>253</v>
      </c>
      <c r="I515" s="38"/>
      <c r="J515" s="38"/>
      <c r="K515" s="38"/>
      <c r="L515" s="38"/>
      <c r="M515" s="38"/>
    </row>
    <row r="516" spans="1:13" x14ac:dyDescent="0.25">
      <c r="A516" t="s">
        <v>1143</v>
      </c>
      <c r="B516">
        <v>179.25</v>
      </c>
      <c r="C516" t="s">
        <v>531</v>
      </c>
      <c r="D516">
        <v>2242.1498368708849</v>
      </c>
      <c r="E516">
        <v>2059.7354759818263</v>
      </c>
      <c r="F516">
        <v>516</v>
      </c>
      <c r="G516">
        <v>16</v>
      </c>
      <c r="H516">
        <v>254</v>
      </c>
    </row>
    <row r="517" spans="1:13" x14ac:dyDescent="0.25">
      <c r="A517" s="38" t="s">
        <v>1144</v>
      </c>
      <c r="B517" s="38">
        <v>179.3</v>
      </c>
      <c r="C517" s="38" t="s">
        <v>532</v>
      </c>
      <c r="D517" s="38">
        <v>2243.1789922708849</v>
      </c>
      <c r="E517" s="38">
        <v>2060.0442226140949</v>
      </c>
      <c r="F517" s="38">
        <v>517</v>
      </c>
      <c r="G517" s="38">
        <v>16</v>
      </c>
      <c r="H517" s="38">
        <v>254</v>
      </c>
      <c r="I517" s="38"/>
      <c r="J517" s="38"/>
      <c r="K517" s="38"/>
      <c r="L517" s="38"/>
      <c r="M517" s="38"/>
    </row>
    <row r="518" spans="1:13" x14ac:dyDescent="0.25">
      <c r="A518" t="s">
        <v>1145</v>
      </c>
      <c r="B518">
        <v>179.94</v>
      </c>
      <c r="C518" t="s">
        <v>533</v>
      </c>
      <c r="D518">
        <v>2250.8161321160405</v>
      </c>
      <c r="E518">
        <v>2067.6813624592505</v>
      </c>
      <c r="F518">
        <v>518</v>
      </c>
      <c r="G518">
        <v>17</v>
      </c>
      <c r="H518">
        <v>255</v>
      </c>
    </row>
    <row r="519" spans="1:13" x14ac:dyDescent="0.25">
      <c r="A519" s="39" t="s">
        <v>1146</v>
      </c>
      <c r="B519" s="39">
        <v>180.24</v>
      </c>
      <c r="C519" s="39" t="s">
        <v>534</v>
      </c>
      <c r="D519" s="39">
        <v>2254.8452875160406</v>
      </c>
      <c r="E519" s="39">
        <v>2070.9901090915191</v>
      </c>
      <c r="F519" s="39">
        <v>519</v>
      </c>
      <c r="G519" s="39">
        <v>17</v>
      </c>
      <c r="H519" s="39">
        <v>255</v>
      </c>
      <c r="I519" s="39"/>
      <c r="J519" s="39"/>
      <c r="K519" s="39"/>
      <c r="L519" s="39"/>
      <c r="M519" s="39"/>
    </row>
    <row r="520" spans="1:13" x14ac:dyDescent="0.25">
      <c r="A520" t="s">
        <v>1147</v>
      </c>
      <c r="B520">
        <v>180.88</v>
      </c>
      <c r="C520" t="s">
        <v>535</v>
      </c>
      <c r="D520">
        <v>2262.4824273611962</v>
      </c>
      <c r="E520">
        <v>2078.6272489366747</v>
      </c>
      <c r="F520">
        <v>520</v>
      </c>
      <c r="G520">
        <v>1</v>
      </c>
      <c r="H520">
        <v>256</v>
      </c>
    </row>
    <row r="521" spans="1:13" x14ac:dyDescent="0.25">
      <c r="A521" s="38" t="s">
        <v>1148</v>
      </c>
      <c r="B521" s="38">
        <v>180.94</v>
      </c>
      <c r="C521" s="38" t="s">
        <v>536</v>
      </c>
      <c r="D521" s="38">
        <v>2263.5115827611962</v>
      </c>
      <c r="E521" s="38">
        <v>2078.9359955689433</v>
      </c>
      <c r="F521" s="38">
        <v>521</v>
      </c>
      <c r="G521" s="38">
        <v>1</v>
      </c>
      <c r="H521" s="38">
        <v>256</v>
      </c>
      <c r="I521" s="38"/>
      <c r="J521" s="38"/>
      <c r="K521" s="38"/>
      <c r="L521" s="38"/>
      <c r="M521" s="38"/>
    </row>
    <row r="522" spans="1:13" x14ac:dyDescent="0.25">
      <c r="A522" t="s">
        <v>1149</v>
      </c>
      <c r="B522">
        <v>181.57</v>
      </c>
      <c r="C522" t="s">
        <v>537</v>
      </c>
      <c r="D522">
        <v>2271.1487226063518</v>
      </c>
      <c r="E522">
        <v>2086.5731354140989</v>
      </c>
      <c r="F522">
        <v>522</v>
      </c>
      <c r="G522">
        <v>2</v>
      </c>
      <c r="H522">
        <v>257</v>
      </c>
    </row>
    <row r="523" spans="1:13" x14ac:dyDescent="0.25">
      <c r="A523" s="38" t="s">
        <v>1150</v>
      </c>
      <c r="B523" s="38">
        <v>181.63</v>
      </c>
      <c r="C523" s="38" t="s">
        <v>538</v>
      </c>
      <c r="D523" s="38">
        <v>2272.1778780063519</v>
      </c>
      <c r="E523" s="38">
        <v>2086.8818820463675</v>
      </c>
      <c r="F523" s="38">
        <v>523</v>
      </c>
      <c r="G523" s="38">
        <v>2</v>
      </c>
      <c r="H523" s="38">
        <v>257</v>
      </c>
      <c r="I523" s="38"/>
      <c r="J523" s="38"/>
      <c r="K523" s="38"/>
      <c r="L523" s="38"/>
      <c r="M523" s="38"/>
    </row>
    <row r="524" spans="1:13" x14ac:dyDescent="0.25">
      <c r="A524" t="s">
        <v>1151</v>
      </c>
      <c r="B524">
        <v>182.26</v>
      </c>
      <c r="C524" t="s">
        <v>539</v>
      </c>
      <c r="D524">
        <v>2279.8150178515075</v>
      </c>
      <c r="E524">
        <v>2094.5190218915232</v>
      </c>
      <c r="F524">
        <v>524</v>
      </c>
      <c r="G524">
        <v>3</v>
      </c>
      <c r="H524">
        <v>258</v>
      </c>
    </row>
    <row r="525" spans="1:13" x14ac:dyDescent="0.25">
      <c r="A525" s="38" t="s">
        <v>1152</v>
      </c>
      <c r="B525" s="38">
        <v>182.32</v>
      </c>
      <c r="C525" s="38" t="s">
        <v>540</v>
      </c>
      <c r="D525" s="38">
        <v>2280.8441732515075</v>
      </c>
      <c r="E525" s="38">
        <v>2094.8277685237917</v>
      </c>
      <c r="F525" s="38">
        <v>525</v>
      </c>
      <c r="G525" s="38">
        <v>3</v>
      </c>
      <c r="H525" s="38">
        <v>258</v>
      </c>
      <c r="I525" s="38"/>
      <c r="J525" s="38"/>
      <c r="K525" s="38"/>
      <c r="L525" s="38"/>
      <c r="M525" s="38"/>
    </row>
    <row r="526" spans="1:13" x14ac:dyDescent="0.25">
      <c r="A526" t="s">
        <v>1153</v>
      </c>
      <c r="B526">
        <v>182.96</v>
      </c>
      <c r="C526" t="s">
        <v>541</v>
      </c>
      <c r="D526">
        <v>2288.4813130966631</v>
      </c>
      <c r="E526">
        <v>2102.4649083689474</v>
      </c>
      <c r="F526">
        <v>526</v>
      </c>
      <c r="G526">
        <v>4</v>
      </c>
      <c r="H526">
        <v>259</v>
      </c>
    </row>
    <row r="527" spans="1:13" x14ac:dyDescent="0.25">
      <c r="A527" s="38" t="s">
        <v>1154</v>
      </c>
      <c r="B527" s="38">
        <v>183.01</v>
      </c>
      <c r="C527" s="38" t="s">
        <v>542</v>
      </c>
      <c r="D527" s="38">
        <v>2289.5104684966632</v>
      </c>
      <c r="E527" s="38">
        <v>2102.773655001216</v>
      </c>
      <c r="F527" s="38">
        <v>527</v>
      </c>
      <c r="G527" s="38">
        <v>4</v>
      </c>
      <c r="H527" s="38">
        <v>259</v>
      </c>
      <c r="I527" s="38"/>
      <c r="J527" s="38"/>
      <c r="K527" s="38"/>
      <c r="L527" s="38"/>
      <c r="M527" s="38"/>
    </row>
    <row r="528" spans="1:13" x14ac:dyDescent="0.25">
      <c r="A528" t="s">
        <v>1155</v>
      </c>
      <c r="B528">
        <v>183.65</v>
      </c>
      <c r="C528" t="s">
        <v>543</v>
      </c>
      <c r="D528">
        <v>2297.1476083418188</v>
      </c>
      <c r="E528">
        <v>2110.4107948463716</v>
      </c>
      <c r="F528">
        <v>528</v>
      </c>
      <c r="G528">
        <v>5</v>
      </c>
      <c r="H528">
        <v>260</v>
      </c>
    </row>
    <row r="529" spans="1:13" x14ac:dyDescent="0.25">
      <c r="A529" s="38" t="s">
        <v>1156</v>
      </c>
      <c r="B529" s="38">
        <v>183.7</v>
      </c>
      <c r="C529" s="38" t="s">
        <v>544</v>
      </c>
      <c r="D529" s="38">
        <v>2298.1767637418188</v>
      </c>
      <c r="E529" s="38">
        <v>2110.7195414786402</v>
      </c>
      <c r="F529" s="38">
        <v>529</v>
      </c>
      <c r="G529" s="38">
        <v>5</v>
      </c>
      <c r="H529" s="38">
        <v>260</v>
      </c>
      <c r="I529" s="38"/>
      <c r="J529" s="38"/>
      <c r="K529" s="38"/>
      <c r="L529" s="38"/>
      <c r="M529" s="38"/>
    </row>
    <row r="530" spans="1:13" x14ac:dyDescent="0.25">
      <c r="A530" t="s">
        <v>1157</v>
      </c>
      <c r="B530">
        <v>184.34</v>
      </c>
      <c r="C530" t="s">
        <v>545</v>
      </c>
      <c r="D530">
        <v>2305.8139035869744</v>
      </c>
      <c r="E530">
        <v>2118.3566813237958</v>
      </c>
      <c r="F530">
        <v>530</v>
      </c>
      <c r="G530">
        <v>6</v>
      </c>
      <c r="H530">
        <v>261</v>
      </c>
    </row>
    <row r="531" spans="1:13" x14ac:dyDescent="0.25">
      <c r="A531" s="38" t="s">
        <v>1158</v>
      </c>
      <c r="B531" s="38">
        <v>184.4</v>
      </c>
      <c r="C531" s="38" t="s">
        <v>546</v>
      </c>
      <c r="D531" s="38">
        <v>2306.8430589869745</v>
      </c>
      <c r="E531" s="38">
        <v>2118.6654279560644</v>
      </c>
      <c r="F531" s="38">
        <v>531</v>
      </c>
      <c r="G531" s="38">
        <v>6</v>
      </c>
      <c r="H531" s="38">
        <v>261</v>
      </c>
      <c r="I531" s="38"/>
      <c r="J531" s="38"/>
      <c r="K531" s="38"/>
      <c r="L531" s="38"/>
      <c r="M531" s="38"/>
    </row>
    <row r="532" spans="1:13" x14ac:dyDescent="0.25">
      <c r="A532" t="s">
        <v>1159</v>
      </c>
      <c r="B532">
        <v>185.03</v>
      </c>
      <c r="C532" t="s">
        <v>547</v>
      </c>
      <c r="D532">
        <v>2314.4801988321301</v>
      </c>
      <c r="E532">
        <v>2126.30256780122</v>
      </c>
      <c r="F532">
        <v>532</v>
      </c>
      <c r="G532">
        <v>7</v>
      </c>
      <c r="H532">
        <v>262</v>
      </c>
    </row>
    <row r="533" spans="1:13" x14ac:dyDescent="0.25">
      <c r="A533" s="38" t="s">
        <v>1160</v>
      </c>
      <c r="B533" s="38">
        <v>185.09</v>
      </c>
      <c r="C533" s="38" t="s">
        <v>548</v>
      </c>
      <c r="D533" s="38">
        <v>2315.5093542321301</v>
      </c>
      <c r="E533" s="38">
        <v>2126.6113144334886</v>
      </c>
      <c r="F533" s="38">
        <v>533</v>
      </c>
      <c r="G533" s="38">
        <v>7</v>
      </c>
      <c r="H533" s="38">
        <v>262</v>
      </c>
      <c r="I533" s="38"/>
      <c r="J533" s="38"/>
      <c r="K533" s="38"/>
      <c r="L533" s="38"/>
      <c r="M533" s="38"/>
    </row>
    <row r="534" spans="1:13" x14ac:dyDescent="0.25">
      <c r="A534" t="s">
        <v>1161</v>
      </c>
      <c r="B534">
        <v>185.72</v>
      </c>
      <c r="C534" t="s">
        <v>549</v>
      </c>
      <c r="D534">
        <v>2323.1464940772858</v>
      </c>
      <c r="E534">
        <v>2134.2484542786442</v>
      </c>
      <c r="F534">
        <v>534</v>
      </c>
      <c r="G534">
        <v>8</v>
      </c>
      <c r="H534">
        <v>263</v>
      </c>
    </row>
    <row r="535" spans="1:13" x14ac:dyDescent="0.25">
      <c r="A535" s="38" t="s">
        <v>1162</v>
      </c>
      <c r="B535" s="38">
        <v>185.78</v>
      </c>
      <c r="C535" s="38" t="s">
        <v>550</v>
      </c>
      <c r="D535" s="38">
        <v>2324.1756494772858</v>
      </c>
      <c r="E535" s="38">
        <v>2134.5572009109128</v>
      </c>
      <c r="F535" s="38">
        <v>535</v>
      </c>
      <c r="G535" s="38">
        <v>8</v>
      </c>
      <c r="H535" s="38">
        <v>263</v>
      </c>
      <c r="I535" s="38"/>
      <c r="J535" s="38"/>
      <c r="K535" s="38"/>
      <c r="L535" s="38"/>
      <c r="M535" s="38"/>
    </row>
    <row r="536" spans="1:13" x14ac:dyDescent="0.25">
      <c r="A536" t="s">
        <v>1163</v>
      </c>
      <c r="B536">
        <v>186.42</v>
      </c>
      <c r="C536" t="s">
        <v>551</v>
      </c>
      <c r="D536">
        <v>2331.8127893224414</v>
      </c>
      <c r="E536">
        <v>2142.1943407560684</v>
      </c>
      <c r="F536">
        <v>536</v>
      </c>
      <c r="G536">
        <v>9</v>
      </c>
      <c r="H536">
        <v>264</v>
      </c>
    </row>
    <row r="537" spans="1:13" x14ac:dyDescent="0.25">
      <c r="A537" s="38" t="s">
        <v>1164</v>
      </c>
      <c r="B537" s="38">
        <v>186.47</v>
      </c>
      <c r="C537" s="38" t="s">
        <v>552</v>
      </c>
      <c r="D537" s="38">
        <v>2332.8419447224414</v>
      </c>
      <c r="E537" s="38">
        <v>2142.503087388337</v>
      </c>
      <c r="F537" s="38">
        <v>537</v>
      </c>
      <c r="G537" s="38">
        <v>9</v>
      </c>
      <c r="H537" s="38">
        <v>264</v>
      </c>
      <c r="I537" s="38"/>
      <c r="J537" s="38"/>
      <c r="K537" s="38"/>
      <c r="L537" s="38"/>
      <c r="M537" s="38"/>
    </row>
    <row r="538" spans="1:13" x14ac:dyDescent="0.25">
      <c r="A538" t="s">
        <v>1165</v>
      </c>
      <c r="B538">
        <v>187.11</v>
      </c>
      <c r="C538" t="s">
        <v>553</v>
      </c>
      <c r="D538">
        <v>2340.4790845675971</v>
      </c>
      <c r="E538">
        <v>2150.1402272334926</v>
      </c>
      <c r="F538">
        <v>538</v>
      </c>
      <c r="G538">
        <v>10</v>
      </c>
      <c r="H538">
        <v>265</v>
      </c>
    </row>
    <row r="539" spans="1:13" x14ac:dyDescent="0.25">
      <c r="A539" s="38" t="s">
        <v>1166</v>
      </c>
      <c r="B539" s="38">
        <v>187.16</v>
      </c>
      <c r="C539" s="38" t="s">
        <v>554</v>
      </c>
      <c r="D539" s="38">
        <v>2341.5082399675971</v>
      </c>
      <c r="E539" s="38">
        <v>2150.4489738657612</v>
      </c>
      <c r="F539" s="38">
        <v>539</v>
      </c>
      <c r="G539" s="38">
        <v>10</v>
      </c>
      <c r="H539" s="38">
        <v>265</v>
      </c>
      <c r="I539" s="38"/>
      <c r="J539" s="38"/>
      <c r="K539" s="38"/>
      <c r="L539" s="38"/>
      <c r="M539" s="38"/>
    </row>
    <row r="540" spans="1:13" x14ac:dyDescent="0.25">
      <c r="A540" t="s">
        <v>1167</v>
      </c>
      <c r="B540">
        <v>187.8</v>
      </c>
      <c r="C540" t="s">
        <v>555</v>
      </c>
      <c r="D540">
        <v>2349.1453798127527</v>
      </c>
      <c r="E540">
        <v>2158.0861137109168</v>
      </c>
      <c r="F540">
        <v>540</v>
      </c>
      <c r="G540">
        <v>11</v>
      </c>
      <c r="H540">
        <v>266</v>
      </c>
    </row>
    <row r="541" spans="1:13" x14ac:dyDescent="0.25">
      <c r="A541" s="38" t="s">
        <v>1168</v>
      </c>
      <c r="B541" s="38">
        <v>187.86</v>
      </c>
      <c r="C541" s="38" t="s">
        <v>556</v>
      </c>
      <c r="D541" s="38">
        <v>2350.1745352127527</v>
      </c>
      <c r="E541" s="38">
        <v>2158.3948603431854</v>
      </c>
      <c r="F541" s="38">
        <v>541</v>
      </c>
      <c r="G541" s="38">
        <v>11</v>
      </c>
      <c r="H541" s="38">
        <v>266</v>
      </c>
      <c r="I541" s="38"/>
      <c r="J541" s="38"/>
      <c r="K541" s="38"/>
      <c r="L541" s="38"/>
      <c r="M541" s="38"/>
    </row>
    <row r="542" spans="1:13" x14ac:dyDescent="0.25">
      <c r="A542" t="s">
        <v>1169</v>
      </c>
      <c r="B542">
        <v>188.49</v>
      </c>
      <c r="C542" t="s">
        <v>557</v>
      </c>
      <c r="D542">
        <v>2357.8116750579084</v>
      </c>
      <c r="E542">
        <v>2166.032000188341</v>
      </c>
      <c r="F542">
        <v>542</v>
      </c>
      <c r="G542">
        <v>12</v>
      </c>
      <c r="H542">
        <v>267</v>
      </c>
    </row>
    <row r="543" spans="1:13" x14ac:dyDescent="0.25">
      <c r="A543" s="38" t="s">
        <v>1170</v>
      </c>
      <c r="B543" s="38">
        <v>188.55</v>
      </c>
      <c r="C543" s="38" t="s">
        <v>558</v>
      </c>
      <c r="D543" s="38">
        <v>2358.8408304579084</v>
      </c>
      <c r="E543" s="38">
        <v>2166.3407468206096</v>
      </c>
      <c r="F543" s="38">
        <v>543</v>
      </c>
      <c r="G543" s="38">
        <v>12</v>
      </c>
      <c r="H543" s="38">
        <v>267</v>
      </c>
      <c r="I543" s="38"/>
      <c r="J543" s="38"/>
      <c r="K543" s="38"/>
      <c r="L543" s="38"/>
      <c r="M543" s="38"/>
    </row>
    <row r="544" spans="1:13" x14ac:dyDescent="0.25">
      <c r="A544" t="s">
        <v>1171</v>
      </c>
      <c r="B544">
        <v>189.19</v>
      </c>
      <c r="C544" t="s">
        <v>559</v>
      </c>
      <c r="D544">
        <v>2366.477970303064</v>
      </c>
      <c r="E544">
        <v>2173.9778866657653</v>
      </c>
      <c r="F544">
        <v>544</v>
      </c>
      <c r="G544">
        <v>13</v>
      </c>
      <c r="H544">
        <v>268</v>
      </c>
    </row>
    <row r="545" spans="1:13" x14ac:dyDescent="0.25">
      <c r="A545" s="38" t="s">
        <v>1172</v>
      </c>
      <c r="B545" s="38">
        <v>189.24</v>
      </c>
      <c r="C545" s="38" t="s">
        <v>560</v>
      </c>
      <c r="D545" s="38">
        <v>2367.507125703064</v>
      </c>
      <c r="E545" s="38">
        <v>2174.2866332980338</v>
      </c>
      <c r="F545" s="38">
        <v>545</v>
      </c>
      <c r="G545" s="38">
        <v>13</v>
      </c>
      <c r="H545" s="38">
        <v>268</v>
      </c>
      <c r="I545" s="38"/>
      <c r="J545" s="38"/>
      <c r="K545" s="38"/>
      <c r="L545" s="38"/>
      <c r="M545" s="38"/>
    </row>
    <row r="546" spans="1:13" x14ac:dyDescent="0.25">
      <c r="A546" t="s">
        <v>1173</v>
      </c>
      <c r="B546">
        <v>189.88</v>
      </c>
      <c r="C546" t="s">
        <v>561</v>
      </c>
      <c r="D546">
        <v>2375.1442655482197</v>
      </c>
      <c r="E546">
        <v>2181.9237731431895</v>
      </c>
      <c r="F546">
        <v>546</v>
      </c>
      <c r="G546">
        <v>14</v>
      </c>
      <c r="H546">
        <v>269</v>
      </c>
    </row>
    <row r="547" spans="1:13" x14ac:dyDescent="0.25">
      <c r="A547" s="38" t="s">
        <v>1174</v>
      </c>
      <c r="B547" s="38">
        <v>189.93</v>
      </c>
      <c r="C547" s="38" t="s">
        <v>562</v>
      </c>
      <c r="D547" s="38">
        <v>2376.1734209482197</v>
      </c>
      <c r="E547" s="38">
        <v>2182.2325197754581</v>
      </c>
      <c r="F547" s="38">
        <v>547</v>
      </c>
      <c r="G547" s="38">
        <v>14</v>
      </c>
      <c r="H547" s="38">
        <v>269</v>
      </c>
      <c r="I547" s="38"/>
      <c r="J547" s="38"/>
      <c r="K547" s="38"/>
      <c r="L547" s="38"/>
      <c r="M547" s="38"/>
    </row>
    <row r="548" spans="1:13" x14ac:dyDescent="0.25">
      <c r="A548" t="s">
        <v>1175</v>
      </c>
      <c r="B548">
        <v>190.57</v>
      </c>
      <c r="C548" t="s">
        <v>563</v>
      </c>
      <c r="D548">
        <v>2383.8105607933753</v>
      </c>
      <c r="E548">
        <v>2189.8696596206137</v>
      </c>
      <c r="F548">
        <v>548</v>
      </c>
      <c r="G548">
        <v>15</v>
      </c>
      <c r="H548">
        <v>270</v>
      </c>
    </row>
    <row r="549" spans="1:13" x14ac:dyDescent="0.25">
      <c r="A549" s="38" t="s">
        <v>1176</v>
      </c>
      <c r="B549" s="38">
        <v>190.63</v>
      </c>
      <c r="C549" s="38" t="s">
        <v>564</v>
      </c>
      <c r="D549" s="38">
        <v>2384.8397161933754</v>
      </c>
      <c r="E549" s="38">
        <v>2190.1784062528823</v>
      </c>
      <c r="F549" s="38">
        <v>549</v>
      </c>
      <c r="G549" s="38">
        <v>15</v>
      </c>
      <c r="H549" s="38">
        <v>270</v>
      </c>
      <c r="I549" s="38"/>
      <c r="J549" s="38"/>
      <c r="K549" s="38"/>
      <c r="L549" s="38"/>
      <c r="M549" s="38"/>
    </row>
    <row r="550" spans="1:13" x14ac:dyDescent="0.25">
      <c r="A550" t="s">
        <v>1177</v>
      </c>
      <c r="B550">
        <v>191.26</v>
      </c>
      <c r="C550" t="s">
        <v>565</v>
      </c>
      <c r="D550">
        <v>2392.476856038531</v>
      </c>
      <c r="E550">
        <v>2197.8155460980379</v>
      </c>
      <c r="F550">
        <v>550</v>
      </c>
      <c r="G550">
        <v>16</v>
      </c>
      <c r="H550">
        <v>271</v>
      </c>
    </row>
    <row r="551" spans="1:13" x14ac:dyDescent="0.25">
      <c r="A551" s="38" t="s">
        <v>1178</v>
      </c>
      <c r="B551" s="38">
        <v>191.32</v>
      </c>
      <c r="C551" s="38" t="s">
        <v>566</v>
      </c>
      <c r="D551" s="38">
        <v>2393.506011438531</v>
      </c>
      <c r="E551" s="38">
        <v>2198.1242927303065</v>
      </c>
      <c r="F551" s="38">
        <v>551</v>
      </c>
      <c r="G551" s="38">
        <v>16</v>
      </c>
      <c r="H551" s="38">
        <v>271</v>
      </c>
      <c r="I551" s="38"/>
      <c r="J551" s="38"/>
      <c r="K551" s="38"/>
      <c r="L551" s="38"/>
      <c r="M551" s="38"/>
    </row>
    <row r="552" spans="1:13" x14ac:dyDescent="0.25">
      <c r="A552" t="s">
        <v>1179</v>
      </c>
      <c r="B552">
        <v>191.95</v>
      </c>
      <c r="C552" t="s">
        <v>567</v>
      </c>
      <c r="D552">
        <v>2401.1431512836866</v>
      </c>
      <c r="E552">
        <v>2205.7614325754621</v>
      </c>
      <c r="F552">
        <v>552</v>
      </c>
      <c r="G552">
        <v>17</v>
      </c>
      <c r="H552">
        <v>272</v>
      </c>
    </row>
    <row r="553" spans="1:13" x14ac:dyDescent="0.25">
      <c r="A553" s="39" t="s">
        <v>1180</v>
      </c>
      <c r="B553" s="39">
        <v>192.26</v>
      </c>
      <c r="C553" s="39" t="s">
        <v>568</v>
      </c>
      <c r="D553" s="39">
        <v>2405.1723066836867</v>
      </c>
      <c r="E553" s="39">
        <v>2209.0701792077307</v>
      </c>
      <c r="F553" s="39">
        <v>553</v>
      </c>
      <c r="G553" s="39">
        <v>17</v>
      </c>
      <c r="H553" s="39">
        <v>272</v>
      </c>
      <c r="I553" s="39"/>
      <c r="J553" s="39"/>
      <c r="K553" s="39"/>
      <c r="L553" s="39"/>
      <c r="M553" s="39"/>
    </row>
    <row r="554" spans="1:13" x14ac:dyDescent="0.25">
      <c r="A554" t="s">
        <v>1181</v>
      </c>
      <c r="B554">
        <v>192.9</v>
      </c>
      <c r="C554" t="s">
        <v>569</v>
      </c>
      <c r="D554">
        <v>2412.8094465288423</v>
      </c>
      <c r="E554">
        <v>2216.7073190528863</v>
      </c>
      <c r="F554">
        <v>554</v>
      </c>
      <c r="G554">
        <v>1</v>
      </c>
      <c r="H554">
        <v>273</v>
      </c>
    </row>
    <row r="555" spans="1:13" x14ac:dyDescent="0.25">
      <c r="A555" s="38" t="s">
        <v>1182</v>
      </c>
      <c r="B555" s="38">
        <v>192.95</v>
      </c>
      <c r="C555" s="38" t="s">
        <v>570</v>
      </c>
      <c r="D555" s="38">
        <v>2413.8386019288423</v>
      </c>
      <c r="E555" s="38">
        <v>2217.0160656851549</v>
      </c>
      <c r="F555" s="38">
        <v>555</v>
      </c>
      <c r="G555" s="38">
        <v>1</v>
      </c>
      <c r="H555" s="38">
        <v>273</v>
      </c>
      <c r="I555" s="38"/>
      <c r="J555" s="38"/>
      <c r="K555" s="38"/>
      <c r="L555" s="38"/>
      <c r="M555" s="38"/>
    </row>
    <row r="556" spans="1:13" x14ac:dyDescent="0.25">
      <c r="A556" t="s">
        <v>1183</v>
      </c>
      <c r="B556">
        <v>193.59</v>
      </c>
      <c r="C556" t="s">
        <v>571</v>
      </c>
      <c r="D556">
        <v>2421.4757417739979</v>
      </c>
      <c r="E556">
        <v>2224.6532055303105</v>
      </c>
      <c r="F556">
        <v>556</v>
      </c>
      <c r="G556">
        <v>2</v>
      </c>
      <c r="H556">
        <v>274</v>
      </c>
    </row>
    <row r="557" spans="1:13" x14ac:dyDescent="0.25">
      <c r="A557" s="38" t="s">
        <v>1184</v>
      </c>
      <c r="B557" s="38">
        <v>193.64</v>
      </c>
      <c r="C557" s="38" t="s">
        <v>572</v>
      </c>
      <c r="D557" s="38">
        <v>2422.504897173998</v>
      </c>
      <c r="E557" s="38">
        <v>2224.9619521625791</v>
      </c>
      <c r="F557" s="38">
        <v>557</v>
      </c>
      <c r="G557" s="38">
        <v>2</v>
      </c>
      <c r="H557" s="38">
        <v>274</v>
      </c>
      <c r="I557" s="38"/>
      <c r="J557" s="38"/>
      <c r="K557" s="38"/>
      <c r="L557" s="38"/>
      <c r="M557" s="38"/>
    </row>
    <row r="558" spans="1:13" x14ac:dyDescent="0.25">
      <c r="A558" t="s">
        <v>1185</v>
      </c>
      <c r="B558">
        <v>194.28</v>
      </c>
      <c r="C558" t="s">
        <v>573</v>
      </c>
      <c r="D558">
        <v>2430.1420370191536</v>
      </c>
      <c r="E558">
        <v>2232.5990920077347</v>
      </c>
      <c r="F558">
        <v>558</v>
      </c>
      <c r="G558">
        <v>3</v>
      </c>
      <c r="H558">
        <v>275</v>
      </c>
    </row>
    <row r="559" spans="1:13" x14ac:dyDescent="0.25">
      <c r="A559" s="38" t="s">
        <v>1186</v>
      </c>
      <c r="B559" s="38">
        <v>194.34</v>
      </c>
      <c r="C559" s="38" t="s">
        <v>574</v>
      </c>
      <c r="D559" s="38">
        <v>2431.1711924191536</v>
      </c>
      <c r="E559" s="38">
        <v>2232.9078386400033</v>
      </c>
      <c r="F559" s="38">
        <v>559</v>
      </c>
      <c r="G559" s="38">
        <v>3</v>
      </c>
      <c r="H559" s="38">
        <v>275</v>
      </c>
      <c r="I559" s="38"/>
      <c r="J559" s="38"/>
      <c r="K559" s="38"/>
      <c r="L559" s="38"/>
      <c r="M559" s="38"/>
    </row>
    <row r="560" spans="1:13" x14ac:dyDescent="0.25">
      <c r="A560" t="s">
        <v>1187</v>
      </c>
      <c r="B560">
        <v>194.97</v>
      </c>
      <c r="C560" t="s">
        <v>575</v>
      </c>
      <c r="D560">
        <v>2438.8083322643092</v>
      </c>
      <c r="E560">
        <v>2240.5449784851589</v>
      </c>
      <c r="F560">
        <v>560</v>
      </c>
      <c r="G560">
        <v>4</v>
      </c>
      <c r="H560">
        <v>276</v>
      </c>
    </row>
    <row r="561" spans="1:13" x14ac:dyDescent="0.25">
      <c r="A561" s="38" t="s">
        <v>1188</v>
      </c>
      <c r="B561" s="38">
        <v>195.03</v>
      </c>
      <c r="C561" s="38" t="s">
        <v>576</v>
      </c>
      <c r="D561" s="38">
        <v>2439.8374876643093</v>
      </c>
      <c r="E561" s="38">
        <v>2240.8537251174275</v>
      </c>
      <c r="F561" s="38">
        <v>561</v>
      </c>
      <c r="G561" s="38">
        <v>4</v>
      </c>
      <c r="H561" s="38">
        <v>276</v>
      </c>
      <c r="I561" s="38"/>
      <c r="J561" s="38"/>
      <c r="K561" s="38"/>
      <c r="L561" s="38"/>
      <c r="M561" s="38"/>
    </row>
    <row r="562" spans="1:13" x14ac:dyDescent="0.25">
      <c r="A562" t="s">
        <v>1189</v>
      </c>
      <c r="B562">
        <v>195.67</v>
      </c>
      <c r="C562" t="s">
        <v>577</v>
      </c>
      <c r="D562">
        <v>2447.4746275094649</v>
      </c>
      <c r="E562">
        <v>2248.4908649625831</v>
      </c>
      <c r="F562">
        <v>562</v>
      </c>
      <c r="G562">
        <v>5</v>
      </c>
      <c r="H562">
        <v>277</v>
      </c>
    </row>
    <row r="563" spans="1:13" x14ac:dyDescent="0.25">
      <c r="A563" s="38" t="s">
        <v>1190</v>
      </c>
      <c r="B563" s="38">
        <v>195.72</v>
      </c>
      <c r="C563" s="38" t="s">
        <v>578</v>
      </c>
      <c r="D563" s="38">
        <v>2448.5037829094649</v>
      </c>
      <c r="E563" s="38">
        <v>2248.7996115948517</v>
      </c>
      <c r="F563" s="38">
        <v>563</v>
      </c>
      <c r="G563" s="38">
        <v>5</v>
      </c>
      <c r="H563" s="38">
        <v>277</v>
      </c>
      <c r="I563" s="38"/>
      <c r="J563" s="38"/>
      <c r="K563" s="38"/>
      <c r="L563" s="38"/>
      <c r="M563" s="38"/>
    </row>
    <row r="564" spans="1:13" x14ac:dyDescent="0.25">
      <c r="A564" t="s">
        <v>1191</v>
      </c>
      <c r="B564">
        <v>196.36</v>
      </c>
      <c r="C564" t="s">
        <v>579</v>
      </c>
      <c r="D564">
        <v>2456.1409227546205</v>
      </c>
      <c r="E564">
        <v>2256.4367514400074</v>
      </c>
      <c r="F564">
        <v>564</v>
      </c>
      <c r="G564">
        <v>6</v>
      </c>
      <c r="H564">
        <v>278</v>
      </c>
    </row>
    <row r="565" spans="1:13" x14ac:dyDescent="0.25">
      <c r="A565" s="38" t="s">
        <v>1192</v>
      </c>
      <c r="B565" s="38">
        <v>196.41</v>
      </c>
      <c r="C565" s="38" t="s">
        <v>580</v>
      </c>
      <c r="D565" s="38">
        <v>2457.1700781546206</v>
      </c>
      <c r="E565" s="38">
        <v>2256.745498072276</v>
      </c>
      <c r="F565" s="38">
        <v>565</v>
      </c>
      <c r="G565" s="38">
        <v>6</v>
      </c>
      <c r="H565" s="38">
        <v>278</v>
      </c>
      <c r="I565" s="38"/>
      <c r="J565" s="38"/>
      <c r="K565" s="38"/>
      <c r="L565" s="38"/>
      <c r="M565" s="38"/>
    </row>
    <row r="566" spans="1:13" x14ac:dyDescent="0.25">
      <c r="A566" t="s">
        <v>1193</v>
      </c>
      <c r="B566">
        <v>197.05</v>
      </c>
      <c r="C566" t="s">
        <v>581</v>
      </c>
      <c r="D566">
        <v>2464.8072179997762</v>
      </c>
      <c r="E566">
        <v>2264.3826379174316</v>
      </c>
      <c r="F566">
        <v>566</v>
      </c>
      <c r="G566">
        <v>7</v>
      </c>
      <c r="H566">
        <v>279</v>
      </c>
    </row>
    <row r="567" spans="1:13" x14ac:dyDescent="0.25">
      <c r="A567" s="38" t="s">
        <v>1194</v>
      </c>
      <c r="B567" s="38">
        <v>197.11</v>
      </c>
      <c r="C567" s="38" t="s">
        <v>582</v>
      </c>
      <c r="D567" s="38">
        <v>2465.8363733997762</v>
      </c>
      <c r="E567" s="38">
        <v>2264.6913845497002</v>
      </c>
      <c r="F567" s="38">
        <v>567</v>
      </c>
      <c r="G567" s="38">
        <v>7</v>
      </c>
      <c r="H567" s="38">
        <v>279</v>
      </c>
      <c r="I567" s="38"/>
      <c r="J567" s="38"/>
      <c r="K567" s="38"/>
      <c r="L567" s="38"/>
      <c r="M567" s="38"/>
    </row>
    <row r="568" spans="1:13" x14ac:dyDescent="0.25">
      <c r="A568" t="s">
        <v>1195</v>
      </c>
      <c r="B568">
        <v>197.74</v>
      </c>
      <c r="C568" t="s">
        <v>583</v>
      </c>
      <c r="D568">
        <v>2473.4735132449318</v>
      </c>
      <c r="E568">
        <v>2272.3285243948558</v>
      </c>
      <c r="F568">
        <v>568</v>
      </c>
      <c r="G568">
        <v>8</v>
      </c>
      <c r="H568">
        <v>280</v>
      </c>
    </row>
    <row r="569" spans="1:13" x14ac:dyDescent="0.25">
      <c r="A569" s="38" t="s">
        <v>1196</v>
      </c>
      <c r="B569" s="38">
        <v>197.8</v>
      </c>
      <c r="C569" s="38" t="s">
        <v>584</v>
      </c>
      <c r="D569" s="38">
        <v>2474.5026686449319</v>
      </c>
      <c r="E569" s="38">
        <v>2272.6372710271244</v>
      </c>
      <c r="F569" s="38">
        <v>569</v>
      </c>
      <c r="G569" s="38">
        <v>8</v>
      </c>
      <c r="H569" s="38">
        <v>280</v>
      </c>
      <c r="I569" s="38"/>
      <c r="J569" s="38"/>
      <c r="K569" s="38"/>
      <c r="L569" s="38"/>
      <c r="M569" s="38"/>
    </row>
    <row r="570" spans="1:13" x14ac:dyDescent="0.25">
      <c r="A570" t="s">
        <v>1197</v>
      </c>
      <c r="B570">
        <v>198.43</v>
      </c>
      <c r="C570" t="s">
        <v>585</v>
      </c>
      <c r="D570">
        <v>2482.1398084900875</v>
      </c>
      <c r="E570">
        <v>2280.27441087228</v>
      </c>
      <c r="F570">
        <v>570</v>
      </c>
      <c r="G570">
        <v>9</v>
      </c>
      <c r="H570">
        <v>281</v>
      </c>
    </row>
    <row r="571" spans="1:13" x14ac:dyDescent="0.25">
      <c r="A571" s="38" t="s">
        <v>1198</v>
      </c>
      <c r="B571" s="38">
        <v>198.49</v>
      </c>
      <c r="C571" s="38" t="s">
        <v>586</v>
      </c>
      <c r="D571" s="38">
        <v>2483.1689638900875</v>
      </c>
      <c r="E571" s="38">
        <v>2280.5831575045486</v>
      </c>
      <c r="F571" s="38">
        <v>571</v>
      </c>
      <c r="G571" s="38">
        <v>9</v>
      </c>
      <c r="H571" s="38">
        <v>281</v>
      </c>
      <c r="I571" s="38"/>
      <c r="J571" s="38"/>
      <c r="K571" s="38"/>
      <c r="L571" s="38"/>
      <c r="M571" s="38"/>
    </row>
    <row r="572" spans="1:13" x14ac:dyDescent="0.25">
      <c r="A572" t="s">
        <v>1199</v>
      </c>
      <c r="B572">
        <v>199.13</v>
      </c>
      <c r="C572" t="s">
        <v>587</v>
      </c>
      <c r="D572">
        <v>2490.8061037352431</v>
      </c>
      <c r="E572">
        <v>2288.2202973497042</v>
      </c>
      <c r="F572">
        <v>572</v>
      </c>
      <c r="G572">
        <v>10</v>
      </c>
      <c r="H572">
        <v>282</v>
      </c>
    </row>
    <row r="573" spans="1:13" x14ac:dyDescent="0.25">
      <c r="A573" s="38" t="s">
        <v>1200</v>
      </c>
      <c r="B573" s="38">
        <v>199.18</v>
      </c>
      <c r="C573" s="38" t="s">
        <v>588</v>
      </c>
      <c r="D573" s="38">
        <v>2491.8352591352432</v>
      </c>
      <c r="E573" s="38">
        <v>2288.5290439819728</v>
      </c>
      <c r="F573" s="38">
        <v>573</v>
      </c>
      <c r="G573" s="38">
        <v>10</v>
      </c>
      <c r="H573" s="38">
        <v>282</v>
      </c>
      <c r="I573" s="38"/>
      <c r="J573" s="38"/>
      <c r="K573" s="38"/>
      <c r="L573" s="38"/>
      <c r="M573" s="38"/>
    </row>
    <row r="574" spans="1:13" x14ac:dyDescent="0.25">
      <c r="A574" t="s">
        <v>1201</v>
      </c>
      <c r="B574">
        <v>199.82</v>
      </c>
      <c r="C574" t="s">
        <v>589</v>
      </c>
      <c r="D574">
        <v>2499.4723989803988</v>
      </c>
      <c r="E574">
        <v>2296.1661838271284</v>
      </c>
      <c r="F574">
        <v>574</v>
      </c>
      <c r="G574">
        <v>11</v>
      </c>
      <c r="H574">
        <v>283</v>
      </c>
    </row>
    <row r="575" spans="1:13" x14ac:dyDescent="0.25">
      <c r="A575" s="38" t="s">
        <v>1202</v>
      </c>
      <c r="B575" s="38">
        <v>199.87</v>
      </c>
      <c r="C575" s="38" t="s">
        <v>590</v>
      </c>
      <c r="D575" s="38">
        <v>2500.5015543803988</v>
      </c>
      <c r="E575" s="38">
        <v>2296.474930459397</v>
      </c>
      <c r="F575" s="38">
        <v>575</v>
      </c>
      <c r="G575" s="38">
        <v>11</v>
      </c>
      <c r="H575" s="38">
        <v>283</v>
      </c>
      <c r="I575" s="38"/>
      <c r="J575" s="38"/>
      <c r="K575" s="38"/>
      <c r="L575" s="38"/>
      <c r="M575" s="38"/>
    </row>
    <row r="576" spans="1:13" x14ac:dyDescent="0.25">
      <c r="A576" t="s">
        <v>1203</v>
      </c>
      <c r="B576">
        <v>200.51</v>
      </c>
      <c r="C576" t="s">
        <v>591</v>
      </c>
      <c r="D576">
        <v>2508.1386942255544</v>
      </c>
      <c r="E576">
        <v>2304.1120703045526</v>
      </c>
      <c r="F576">
        <v>576</v>
      </c>
      <c r="G576">
        <v>12</v>
      </c>
      <c r="H576">
        <v>284</v>
      </c>
    </row>
    <row r="577" spans="1:13" x14ac:dyDescent="0.25">
      <c r="A577" s="38" t="s">
        <v>1204</v>
      </c>
      <c r="B577" s="38">
        <v>200.57</v>
      </c>
      <c r="C577" s="38" t="s">
        <v>592</v>
      </c>
      <c r="D577" s="38">
        <v>2509.1678496255545</v>
      </c>
      <c r="E577" s="38">
        <v>2304.4208169368212</v>
      </c>
      <c r="F577" s="38">
        <v>577</v>
      </c>
      <c r="G577" s="38">
        <v>12</v>
      </c>
      <c r="H577" s="38">
        <v>284</v>
      </c>
      <c r="I577" s="38"/>
      <c r="J577" s="38"/>
      <c r="K577" s="38"/>
      <c r="L577" s="38"/>
      <c r="M577" s="38"/>
    </row>
    <row r="578" spans="1:13" x14ac:dyDescent="0.25">
      <c r="A578" t="s">
        <v>1205</v>
      </c>
      <c r="B578">
        <v>201.2</v>
      </c>
      <c r="C578" t="s">
        <v>593</v>
      </c>
      <c r="D578">
        <v>2516.8049894707101</v>
      </c>
      <c r="E578">
        <v>2312.0579567819768</v>
      </c>
      <c r="F578">
        <v>578</v>
      </c>
      <c r="G578">
        <v>13</v>
      </c>
      <c r="H578">
        <v>285</v>
      </c>
    </row>
    <row r="579" spans="1:13" x14ac:dyDescent="0.25">
      <c r="A579" s="38" t="s">
        <v>1206</v>
      </c>
      <c r="B579" s="38">
        <v>201.26</v>
      </c>
      <c r="C579" s="38" t="s">
        <v>594</v>
      </c>
      <c r="D579" s="38">
        <v>2517.8341448707101</v>
      </c>
      <c r="E579" s="38">
        <v>2312.3667034142454</v>
      </c>
      <c r="F579" s="38">
        <v>579</v>
      </c>
      <c r="G579" s="38">
        <v>13</v>
      </c>
      <c r="H579" s="38">
        <v>285</v>
      </c>
      <c r="I579" s="38"/>
      <c r="J579" s="38"/>
      <c r="K579" s="38"/>
      <c r="L579" s="38"/>
      <c r="M579" s="38"/>
    </row>
    <row r="580" spans="1:13" x14ac:dyDescent="0.25">
      <c r="A580" t="s">
        <v>1207</v>
      </c>
      <c r="B580">
        <v>201.89</v>
      </c>
      <c r="C580" t="s">
        <v>595</v>
      </c>
      <c r="D580">
        <v>2525.4712847158657</v>
      </c>
      <c r="E580">
        <v>2320.003843259401</v>
      </c>
      <c r="F580">
        <v>580</v>
      </c>
      <c r="G580">
        <v>14</v>
      </c>
      <c r="H580">
        <v>286</v>
      </c>
    </row>
    <row r="581" spans="1:13" x14ac:dyDescent="0.25">
      <c r="A581" s="38" t="s">
        <v>1208</v>
      </c>
      <c r="B581" s="38">
        <v>201.95</v>
      </c>
      <c r="C581" s="38" t="s">
        <v>596</v>
      </c>
      <c r="D581" s="38">
        <v>2526.5004401158658</v>
      </c>
      <c r="E581" s="38">
        <v>2320.3125898916696</v>
      </c>
      <c r="F581" s="38">
        <v>581</v>
      </c>
      <c r="G581" s="38">
        <v>14</v>
      </c>
      <c r="H581" s="38">
        <v>286</v>
      </c>
      <c r="I581" s="38"/>
      <c r="J581" s="38"/>
      <c r="K581" s="38"/>
      <c r="L581" s="38"/>
      <c r="M581" s="38"/>
    </row>
    <row r="582" spans="1:13" x14ac:dyDescent="0.25">
      <c r="A582" t="s">
        <v>1209</v>
      </c>
      <c r="B582">
        <v>202.59</v>
      </c>
      <c r="C582" t="s">
        <v>597</v>
      </c>
      <c r="D582">
        <v>2534.1375799610214</v>
      </c>
      <c r="E582">
        <v>2327.9497297368252</v>
      </c>
      <c r="F582">
        <v>582</v>
      </c>
      <c r="G582">
        <v>15</v>
      </c>
      <c r="H582">
        <v>287</v>
      </c>
    </row>
    <row r="583" spans="1:13" x14ac:dyDescent="0.25">
      <c r="A583" s="38" t="s">
        <v>1210</v>
      </c>
      <c r="B583" s="38">
        <v>202.64</v>
      </c>
      <c r="C583" s="38" t="s">
        <v>598</v>
      </c>
      <c r="D583" s="38">
        <v>2535.1667353610214</v>
      </c>
      <c r="E583" s="38">
        <v>2328.2584763690938</v>
      </c>
      <c r="F583" s="38">
        <v>583</v>
      </c>
      <c r="G583" s="38">
        <v>15</v>
      </c>
      <c r="H583" s="38">
        <v>287</v>
      </c>
      <c r="I583" s="38"/>
      <c r="J583" s="38"/>
      <c r="K583" s="38"/>
      <c r="L583" s="38"/>
      <c r="M583" s="38"/>
    </row>
    <row r="584" spans="1:13" x14ac:dyDescent="0.25">
      <c r="A584" t="s">
        <v>1211</v>
      </c>
      <c r="B584">
        <v>203.28</v>
      </c>
      <c r="C584" t="s">
        <v>599</v>
      </c>
      <c r="D584">
        <v>2542.8038752061771</v>
      </c>
      <c r="E584">
        <v>2335.8956162142495</v>
      </c>
      <c r="F584">
        <v>584</v>
      </c>
      <c r="G584">
        <v>16</v>
      </c>
      <c r="H584">
        <v>288</v>
      </c>
    </row>
    <row r="585" spans="1:13" x14ac:dyDescent="0.25">
      <c r="A585" s="38" t="s">
        <v>1212</v>
      </c>
      <c r="B585" s="38">
        <v>203.33</v>
      </c>
      <c r="C585" s="38" t="s">
        <v>600</v>
      </c>
      <c r="D585" s="38">
        <v>2543.8330306061771</v>
      </c>
      <c r="E585" s="38">
        <v>2336.2043628465181</v>
      </c>
      <c r="F585" s="38">
        <v>585</v>
      </c>
      <c r="G585" s="38">
        <v>16</v>
      </c>
      <c r="H585" s="38">
        <v>288</v>
      </c>
      <c r="I585" s="38"/>
      <c r="J585" s="38"/>
      <c r="K585" s="38"/>
      <c r="L585" s="38"/>
      <c r="M585" s="38"/>
    </row>
    <row r="586" spans="1:13" x14ac:dyDescent="0.25">
      <c r="A586" t="s">
        <v>1213</v>
      </c>
      <c r="B586">
        <v>203.97</v>
      </c>
      <c r="C586" t="s">
        <v>601</v>
      </c>
      <c r="D586">
        <v>2551.4701704513327</v>
      </c>
      <c r="E586">
        <v>2343.8415026916737</v>
      </c>
      <c r="F586">
        <v>586</v>
      </c>
      <c r="G586">
        <v>17</v>
      </c>
      <c r="H586">
        <v>289</v>
      </c>
    </row>
    <row r="587" spans="1:13" x14ac:dyDescent="0.25">
      <c r="A587" s="39" t="s">
        <v>1214</v>
      </c>
      <c r="B587" s="39">
        <v>204.28</v>
      </c>
      <c r="C587" s="39" t="s">
        <v>602</v>
      </c>
      <c r="D587" s="39">
        <v>2555.4993258513327</v>
      </c>
      <c r="E587" s="39">
        <v>2347.1502493239423</v>
      </c>
      <c r="F587" s="39">
        <v>587</v>
      </c>
      <c r="G587" s="39">
        <v>17</v>
      </c>
      <c r="H587" s="39">
        <v>289</v>
      </c>
      <c r="I587" s="39"/>
      <c r="J587" s="39"/>
      <c r="K587" s="39"/>
      <c r="L587" s="39"/>
      <c r="M587" s="39"/>
    </row>
    <row r="588" spans="1:13" x14ac:dyDescent="0.25">
      <c r="A588" t="s">
        <v>1215</v>
      </c>
      <c r="B588">
        <v>204.91</v>
      </c>
      <c r="C588" t="s">
        <v>603</v>
      </c>
      <c r="D588">
        <v>2563.1364656964884</v>
      </c>
      <c r="E588">
        <v>2354.7873891690979</v>
      </c>
      <c r="F588">
        <v>588</v>
      </c>
      <c r="G588">
        <v>1</v>
      </c>
      <c r="H588">
        <v>290</v>
      </c>
    </row>
    <row r="589" spans="1:13" x14ac:dyDescent="0.25">
      <c r="A589" s="38" t="s">
        <v>1216</v>
      </c>
      <c r="B589" s="38">
        <v>204.97</v>
      </c>
      <c r="C589" s="38" t="s">
        <v>604</v>
      </c>
      <c r="D589" s="38">
        <v>2564.1656210964884</v>
      </c>
      <c r="E589" s="38">
        <v>2355.0961358013665</v>
      </c>
      <c r="F589" s="38">
        <v>589</v>
      </c>
      <c r="G589" s="38">
        <v>1</v>
      </c>
      <c r="H589" s="38">
        <v>290</v>
      </c>
      <c r="I589" s="38"/>
      <c r="J589" s="38"/>
      <c r="K589" s="38"/>
      <c r="L589" s="38"/>
      <c r="M589" s="38"/>
    </row>
    <row r="590" spans="1:13" x14ac:dyDescent="0.25">
      <c r="A590" t="s">
        <v>1217</v>
      </c>
      <c r="B590">
        <v>205.61</v>
      </c>
      <c r="C590" t="s">
        <v>605</v>
      </c>
      <c r="D590">
        <v>2571.802760941644</v>
      </c>
      <c r="E590">
        <v>2362.7332756465221</v>
      </c>
      <c r="F590">
        <v>590</v>
      </c>
      <c r="G590">
        <v>2</v>
      </c>
      <c r="H590">
        <v>291</v>
      </c>
    </row>
    <row r="591" spans="1:13" x14ac:dyDescent="0.25">
      <c r="A591" s="38" t="s">
        <v>1218</v>
      </c>
      <c r="B591" s="38">
        <v>205.66</v>
      </c>
      <c r="C591" s="38" t="s">
        <v>606</v>
      </c>
      <c r="D591" s="38">
        <v>2572.831916341644</v>
      </c>
      <c r="E591" s="38">
        <v>2363.0420222787907</v>
      </c>
      <c r="F591" s="38">
        <v>591</v>
      </c>
      <c r="G591" s="38">
        <v>2</v>
      </c>
      <c r="H591" s="38">
        <v>291</v>
      </c>
      <c r="I591" s="38"/>
      <c r="J591" s="38"/>
      <c r="K591" s="38"/>
      <c r="L591" s="38"/>
      <c r="M591" s="38"/>
    </row>
    <row r="592" spans="1:13" x14ac:dyDescent="0.25">
      <c r="A592" t="s">
        <v>1219</v>
      </c>
      <c r="B592">
        <v>206.3</v>
      </c>
      <c r="C592" t="s">
        <v>607</v>
      </c>
      <c r="D592">
        <v>2580.4690561867997</v>
      </c>
      <c r="E592">
        <v>2370.6791621239463</v>
      </c>
      <c r="F592">
        <v>592</v>
      </c>
      <c r="G592">
        <v>3</v>
      </c>
      <c r="H592">
        <v>292</v>
      </c>
    </row>
    <row r="593" spans="1:13" x14ac:dyDescent="0.25">
      <c r="A593" s="38" t="s">
        <v>1220</v>
      </c>
      <c r="B593" s="38">
        <v>206.35</v>
      </c>
      <c r="C593" s="38" t="s">
        <v>608</v>
      </c>
      <c r="D593" s="38">
        <v>2581.4982115867997</v>
      </c>
      <c r="E593" s="38">
        <v>2370.9879087562149</v>
      </c>
      <c r="F593" s="38">
        <v>593</v>
      </c>
      <c r="G593" s="38">
        <v>3</v>
      </c>
      <c r="H593" s="38">
        <v>292</v>
      </c>
      <c r="I593" s="38"/>
      <c r="J593" s="38"/>
      <c r="K593" s="38"/>
      <c r="L593" s="38"/>
      <c r="M593" s="38"/>
    </row>
    <row r="594" spans="1:13" x14ac:dyDescent="0.25">
      <c r="A594" t="s">
        <v>1221</v>
      </c>
      <c r="B594">
        <v>206.99</v>
      </c>
      <c r="C594" t="s">
        <v>609</v>
      </c>
      <c r="D594">
        <v>2589.1353514319553</v>
      </c>
      <c r="E594">
        <v>2378.6250486013705</v>
      </c>
      <c r="F594">
        <v>594</v>
      </c>
      <c r="G594">
        <v>4</v>
      </c>
      <c r="H594">
        <v>293</v>
      </c>
    </row>
    <row r="595" spans="1:13" x14ac:dyDescent="0.25">
      <c r="A595" s="38" t="s">
        <v>1222</v>
      </c>
      <c r="B595" s="38">
        <v>207.05</v>
      </c>
      <c r="C595" s="38" t="s">
        <v>610</v>
      </c>
      <c r="D595" s="38">
        <v>2590.1645068319554</v>
      </c>
      <c r="E595" s="38">
        <v>2378.9337952336391</v>
      </c>
      <c r="F595" s="38">
        <v>595</v>
      </c>
      <c r="G595" s="38">
        <v>4</v>
      </c>
      <c r="H595" s="38">
        <v>293</v>
      </c>
      <c r="I595" s="38"/>
      <c r="J595" s="38"/>
      <c r="K595" s="38"/>
      <c r="L595" s="38"/>
      <c r="M595" s="38"/>
    </row>
    <row r="596" spans="1:13" x14ac:dyDescent="0.25">
      <c r="A596" t="s">
        <v>1223</v>
      </c>
      <c r="B596">
        <v>207.68</v>
      </c>
      <c r="C596" t="s">
        <v>611</v>
      </c>
      <c r="D596">
        <v>2597.801646677111</v>
      </c>
      <c r="E596">
        <v>2386.5709350787947</v>
      </c>
      <c r="F596">
        <v>596</v>
      </c>
      <c r="G596">
        <v>5</v>
      </c>
      <c r="H596">
        <v>294</v>
      </c>
    </row>
    <row r="597" spans="1:13" x14ac:dyDescent="0.25">
      <c r="A597" s="38" t="s">
        <v>1224</v>
      </c>
      <c r="B597" s="38">
        <v>207.74</v>
      </c>
      <c r="C597" s="38" t="s">
        <v>612</v>
      </c>
      <c r="D597" s="38">
        <v>2598.830802077111</v>
      </c>
      <c r="E597" s="38">
        <v>2386.8796817110633</v>
      </c>
      <c r="F597" s="38">
        <v>597</v>
      </c>
      <c r="G597" s="38">
        <v>5</v>
      </c>
      <c r="H597" s="38">
        <v>294</v>
      </c>
      <c r="I597" s="38"/>
      <c r="J597" s="38"/>
      <c r="K597" s="38"/>
      <c r="L597" s="38"/>
      <c r="M597" s="38"/>
    </row>
    <row r="598" spans="1:13" x14ac:dyDescent="0.25">
      <c r="A598" t="s">
        <v>1225</v>
      </c>
      <c r="B598">
        <v>208.37</v>
      </c>
      <c r="C598" t="s">
        <v>613</v>
      </c>
      <c r="D598">
        <v>2606.4679419222666</v>
      </c>
      <c r="E598">
        <v>2394.5168215562189</v>
      </c>
      <c r="F598">
        <v>598</v>
      </c>
      <c r="G598">
        <v>6</v>
      </c>
      <c r="H598">
        <v>295</v>
      </c>
    </row>
    <row r="599" spans="1:13" x14ac:dyDescent="0.25">
      <c r="A599" s="38" t="s">
        <v>1226</v>
      </c>
      <c r="B599" s="38">
        <v>208.43</v>
      </c>
      <c r="C599" s="38" t="s">
        <v>614</v>
      </c>
      <c r="D599" s="38">
        <v>2607.4970973222667</v>
      </c>
      <c r="E599" s="38">
        <v>2394.8255681884875</v>
      </c>
      <c r="F599" s="38">
        <v>599</v>
      </c>
      <c r="G599" s="38">
        <v>6</v>
      </c>
      <c r="H599" s="38">
        <v>295</v>
      </c>
      <c r="I599" s="38"/>
      <c r="J599" s="38"/>
      <c r="K599" s="38"/>
      <c r="L599" s="38"/>
      <c r="M599" s="38"/>
    </row>
    <row r="600" spans="1:13" x14ac:dyDescent="0.25">
      <c r="A600" t="s">
        <v>1227</v>
      </c>
      <c r="B600">
        <v>209.07</v>
      </c>
      <c r="C600" t="s">
        <v>615</v>
      </c>
      <c r="D600">
        <v>2615.1342371674223</v>
      </c>
      <c r="E600">
        <v>2402.4627080336431</v>
      </c>
      <c r="F600">
        <v>600</v>
      </c>
      <c r="G600">
        <v>7</v>
      </c>
      <c r="H600">
        <v>296</v>
      </c>
    </row>
    <row r="601" spans="1:13" x14ac:dyDescent="0.25">
      <c r="A601" s="38" t="s">
        <v>1228</v>
      </c>
      <c r="B601" s="38">
        <v>209.12</v>
      </c>
      <c r="C601" s="38" t="s">
        <v>616</v>
      </c>
      <c r="D601" s="38">
        <v>2616.1633925674223</v>
      </c>
      <c r="E601" s="38">
        <v>2402.7714546659117</v>
      </c>
      <c r="F601" s="38">
        <v>601</v>
      </c>
      <c r="G601" s="38">
        <v>7</v>
      </c>
      <c r="H601" s="38">
        <v>296</v>
      </c>
      <c r="I601" s="38"/>
      <c r="J601" s="38"/>
      <c r="K601" s="38"/>
      <c r="L601" s="38"/>
      <c r="M601" s="38"/>
    </row>
    <row r="602" spans="1:13" x14ac:dyDescent="0.25">
      <c r="A602" t="s">
        <v>1229</v>
      </c>
      <c r="B602">
        <v>209.76</v>
      </c>
      <c r="C602" t="s">
        <v>617</v>
      </c>
      <c r="D602">
        <v>2623.8005324125779</v>
      </c>
      <c r="E602">
        <v>2410.4085945110673</v>
      </c>
      <c r="F602">
        <v>602</v>
      </c>
      <c r="G602">
        <v>8</v>
      </c>
      <c r="H602">
        <v>297</v>
      </c>
    </row>
    <row r="603" spans="1:13" x14ac:dyDescent="0.25">
      <c r="A603" s="38" t="s">
        <v>1230</v>
      </c>
      <c r="B603" s="38">
        <v>209.81</v>
      </c>
      <c r="C603" s="38" t="s">
        <v>618</v>
      </c>
      <c r="D603" s="38">
        <v>2624.829687812578</v>
      </c>
      <c r="E603" s="38">
        <v>2410.7173411433359</v>
      </c>
      <c r="F603" s="38">
        <v>603</v>
      </c>
      <c r="G603" s="38">
        <v>8</v>
      </c>
      <c r="H603" s="38">
        <v>297</v>
      </c>
      <c r="I603" s="38"/>
      <c r="J603" s="38"/>
      <c r="K603" s="38"/>
      <c r="L603" s="38"/>
      <c r="M603" s="38"/>
    </row>
    <row r="604" spans="1:13" x14ac:dyDescent="0.25">
      <c r="A604" t="s">
        <v>1231</v>
      </c>
      <c r="B604">
        <v>210.45</v>
      </c>
      <c r="C604" t="s">
        <v>619</v>
      </c>
      <c r="D604">
        <v>2632.4668276577336</v>
      </c>
      <c r="E604">
        <v>2418.3544809884916</v>
      </c>
      <c r="F604">
        <v>604</v>
      </c>
      <c r="G604">
        <v>9</v>
      </c>
      <c r="H604">
        <v>298</v>
      </c>
    </row>
    <row r="605" spans="1:13" x14ac:dyDescent="0.25">
      <c r="A605" s="38" t="s">
        <v>1232</v>
      </c>
      <c r="B605" s="38">
        <v>210.51</v>
      </c>
      <c r="C605" s="38" t="s">
        <v>620</v>
      </c>
      <c r="D605" s="38">
        <v>2633.4959830577336</v>
      </c>
      <c r="E605" s="38">
        <v>2418.6632276207602</v>
      </c>
      <c r="F605" s="38">
        <v>605</v>
      </c>
      <c r="G605" s="38">
        <v>9</v>
      </c>
      <c r="H605" s="38">
        <v>298</v>
      </c>
      <c r="I605" s="38"/>
      <c r="J605" s="38"/>
      <c r="K605" s="38"/>
      <c r="L605" s="38"/>
      <c r="M605" s="38"/>
    </row>
    <row r="606" spans="1:13" x14ac:dyDescent="0.25">
      <c r="A606" t="s">
        <v>1233</v>
      </c>
      <c r="B606">
        <v>211.14</v>
      </c>
      <c r="C606" t="s">
        <v>621</v>
      </c>
      <c r="D606">
        <v>2641.1331229028892</v>
      </c>
      <c r="E606">
        <v>2426.3003674659158</v>
      </c>
      <c r="F606">
        <v>606</v>
      </c>
      <c r="G606">
        <v>10</v>
      </c>
      <c r="H606">
        <v>299</v>
      </c>
    </row>
    <row r="607" spans="1:13" x14ac:dyDescent="0.25">
      <c r="A607" s="38" t="s">
        <v>1234</v>
      </c>
      <c r="B607" s="38">
        <v>211.2</v>
      </c>
      <c r="C607" s="38" t="s">
        <v>622</v>
      </c>
      <c r="D607" s="38">
        <v>2642.1622783028893</v>
      </c>
      <c r="E607" s="38">
        <v>2426.6091140981844</v>
      </c>
      <c r="F607" s="38">
        <v>607</v>
      </c>
      <c r="G607" s="38">
        <v>10</v>
      </c>
      <c r="H607" s="38">
        <v>299</v>
      </c>
      <c r="I607" s="38"/>
      <c r="J607" s="38"/>
      <c r="K607" s="38"/>
      <c r="L607" s="38"/>
      <c r="M607" s="38"/>
    </row>
    <row r="608" spans="1:13" x14ac:dyDescent="0.25">
      <c r="A608" t="s">
        <v>1235</v>
      </c>
      <c r="B608">
        <v>211.84</v>
      </c>
      <c r="C608" t="s">
        <v>623</v>
      </c>
      <c r="D608">
        <v>2649.7994181480449</v>
      </c>
      <c r="E608">
        <v>2434.24625394334</v>
      </c>
      <c r="F608">
        <v>608</v>
      </c>
      <c r="G608">
        <v>11</v>
      </c>
      <c r="H608">
        <v>300</v>
      </c>
    </row>
    <row r="609" spans="1:13" x14ac:dyDescent="0.25">
      <c r="A609" s="38" t="s">
        <v>1236</v>
      </c>
      <c r="B609" s="38">
        <v>211.89</v>
      </c>
      <c r="C609" s="38" t="s">
        <v>624</v>
      </c>
      <c r="D609" s="38">
        <v>2650.8285735480449</v>
      </c>
      <c r="E609" s="38">
        <v>2434.5550005756086</v>
      </c>
      <c r="F609" s="38">
        <v>609</v>
      </c>
      <c r="G609" s="38">
        <v>11</v>
      </c>
      <c r="H609" s="38">
        <v>300</v>
      </c>
      <c r="I609" s="38"/>
      <c r="J609" s="38"/>
      <c r="K609" s="38"/>
      <c r="L609" s="38"/>
      <c r="M609" s="38"/>
    </row>
    <row r="610" spans="1:13" x14ac:dyDescent="0.25">
      <c r="A610" t="s">
        <v>1237</v>
      </c>
      <c r="B610">
        <v>212.53</v>
      </c>
      <c r="C610" t="s">
        <v>625</v>
      </c>
      <c r="D610">
        <v>2658.4657133932005</v>
      </c>
      <c r="E610">
        <v>2442.1921404207642</v>
      </c>
      <c r="F610">
        <v>610</v>
      </c>
      <c r="G610">
        <v>12</v>
      </c>
      <c r="H610">
        <v>301</v>
      </c>
    </row>
    <row r="611" spans="1:13" x14ac:dyDescent="0.25">
      <c r="A611" s="38" t="s">
        <v>1238</v>
      </c>
      <c r="B611" s="38">
        <v>212.58</v>
      </c>
      <c r="C611" s="38" t="s">
        <v>626</v>
      </c>
      <c r="D611" s="38">
        <v>2659.4948687932006</v>
      </c>
      <c r="E611" s="38">
        <v>2442.5008870530328</v>
      </c>
      <c r="F611" s="38">
        <v>611</v>
      </c>
      <c r="G611" s="38">
        <v>12</v>
      </c>
      <c r="H611" s="38">
        <v>301</v>
      </c>
      <c r="I611" s="38"/>
      <c r="J611" s="38"/>
      <c r="K611" s="38"/>
      <c r="L611" s="38"/>
      <c r="M611" s="38"/>
    </row>
    <row r="612" spans="1:13" x14ac:dyDescent="0.25">
      <c r="A612" t="s">
        <v>1239</v>
      </c>
      <c r="B612">
        <v>213.22</v>
      </c>
      <c r="C612" t="s">
        <v>627</v>
      </c>
      <c r="D612">
        <v>2667.1320086383562</v>
      </c>
      <c r="E612">
        <v>2450.1380268981884</v>
      </c>
      <c r="F612">
        <v>612</v>
      </c>
      <c r="G612">
        <v>13</v>
      </c>
      <c r="H612">
        <v>302</v>
      </c>
    </row>
    <row r="613" spans="1:13" x14ac:dyDescent="0.25">
      <c r="A613" s="38" t="s">
        <v>1240</v>
      </c>
      <c r="B613" s="38">
        <v>213.28</v>
      </c>
      <c r="C613" s="38" t="s">
        <v>628</v>
      </c>
      <c r="D613" s="38">
        <v>2668.1611640383562</v>
      </c>
      <c r="E613" s="38">
        <v>2450.446773530457</v>
      </c>
      <c r="F613" s="38">
        <v>613</v>
      </c>
      <c r="G613" s="38">
        <v>13</v>
      </c>
      <c r="H613" s="38">
        <v>302</v>
      </c>
      <c r="I613" s="38"/>
      <c r="J613" s="38"/>
      <c r="K613" s="38"/>
      <c r="L613" s="38"/>
      <c r="M613" s="38"/>
    </row>
    <row r="614" spans="1:13" x14ac:dyDescent="0.25">
      <c r="A614" t="s">
        <v>1241</v>
      </c>
      <c r="B614">
        <v>213.91</v>
      </c>
      <c r="C614" t="s">
        <v>629</v>
      </c>
      <c r="D614">
        <v>2675.7983038835118</v>
      </c>
      <c r="E614">
        <v>2458.0839133756126</v>
      </c>
      <c r="F614">
        <v>614</v>
      </c>
      <c r="G614">
        <v>14</v>
      </c>
      <c r="H614">
        <v>303</v>
      </c>
    </row>
    <row r="615" spans="1:13" x14ac:dyDescent="0.25">
      <c r="A615" s="38" t="s">
        <v>1242</v>
      </c>
      <c r="B615" s="38">
        <v>213.97</v>
      </c>
      <c r="C615" s="38" t="s">
        <v>630</v>
      </c>
      <c r="D615" s="38">
        <v>2676.8274592835119</v>
      </c>
      <c r="E615" s="38">
        <v>2458.3926600078812</v>
      </c>
      <c r="F615" s="38">
        <v>615</v>
      </c>
      <c r="G615" s="38">
        <v>14</v>
      </c>
      <c r="H615" s="38">
        <v>303</v>
      </c>
      <c r="I615" s="38"/>
      <c r="J615" s="38"/>
      <c r="K615" s="38"/>
      <c r="L615" s="38"/>
      <c r="M615" s="38"/>
    </row>
    <row r="616" spans="1:13" x14ac:dyDescent="0.25">
      <c r="A616" t="s">
        <v>1243</v>
      </c>
      <c r="B616">
        <v>214.6</v>
      </c>
      <c r="C616" t="s">
        <v>631</v>
      </c>
      <c r="D616">
        <v>2684.4645991286675</v>
      </c>
      <c r="E616">
        <v>2466.0297998530368</v>
      </c>
      <c r="F616">
        <v>616</v>
      </c>
      <c r="G616">
        <v>15</v>
      </c>
      <c r="H616">
        <v>304</v>
      </c>
    </row>
    <row r="617" spans="1:13" x14ac:dyDescent="0.25">
      <c r="A617" s="38" t="s">
        <v>1244</v>
      </c>
      <c r="B617" s="38">
        <v>214.66</v>
      </c>
      <c r="C617" s="38" t="s">
        <v>632</v>
      </c>
      <c r="D617" s="38">
        <v>2685.4937545286675</v>
      </c>
      <c r="E617" s="38">
        <v>2466.3385464853054</v>
      </c>
      <c r="F617" s="38">
        <v>617</v>
      </c>
      <c r="G617" s="38">
        <v>15</v>
      </c>
      <c r="H617" s="38">
        <v>304</v>
      </c>
      <c r="I617" s="38"/>
      <c r="J617" s="38"/>
      <c r="K617" s="38"/>
      <c r="L617" s="38"/>
      <c r="M617" s="38"/>
    </row>
    <row r="618" spans="1:13" x14ac:dyDescent="0.25">
      <c r="A618" t="s">
        <v>1245</v>
      </c>
      <c r="B618">
        <v>215.3</v>
      </c>
      <c r="C618" t="s">
        <v>633</v>
      </c>
      <c r="D618">
        <v>2693.1308943738231</v>
      </c>
      <c r="E618">
        <v>2473.975686330461</v>
      </c>
      <c r="F618">
        <v>618</v>
      </c>
      <c r="G618">
        <v>16</v>
      </c>
      <c r="H618">
        <v>305</v>
      </c>
    </row>
    <row r="619" spans="1:13" x14ac:dyDescent="0.25">
      <c r="A619" s="38" t="s">
        <v>1246</v>
      </c>
      <c r="B619" s="38">
        <v>215.35</v>
      </c>
      <c r="C619" s="38" t="s">
        <v>634</v>
      </c>
      <c r="D619" s="38">
        <v>2694.1600497738232</v>
      </c>
      <c r="E619" s="38">
        <v>2474.2844329627296</v>
      </c>
      <c r="F619" s="38">
        <v>619</v>
      </c>
      <c r="G619" s="38">
        <v>16</v>
      </c>
      <c r="H619" s="38">
        <v>305</v>
      </c>
      <c r="I619" s="38"/>
      <c r="J619" s="38"/>
      <c r="K619" s="38"/>
      <c r="L619" s="38"/>
      <c r="M619" s="38"/>
    </row>
    <row r="620" spans="1:13" x14ac:dyDescent="0.25">
      <c r="A620" t="s">
        <v>1247</v>
      </c>
      <c r="B620">
        <v>215.99</v>
      </c>
      <c r="C620" t="s">
        <v>635</v>
      </c>
      <c r="D620">
        <v>2701.7971896189788</v>
      </c>
      <c r="E620">
        <v>2481.9215728078852</v>
      </c>
      <c r="F620">
        <v>620</v>
      </c>
      <c r="G620">
        <v>17</v>
      </c>
      <c r="H620">
        <v>306</v>
      </c>
    </row>
    <row r="621" spans="1:13" x14ac:dyDescent="0.25">
      <c r="A621" s="39" t="s">
        <v>1248</v>
      </c>
      <c r="B621" s="39">
        <v>216.29</v>
      </c>
      <c r="C621" s="39" t="s">
        <v>636</v>
      </c>
      <c r="D621" s="39">
        <v>2705.8263450189788</v>
      </c>
      <c r="E621" s="39">
        <v>2485.2303194401538</v>
      </c>
      <c r="F621" s="39">
        <v>621</v>
      </c>
      <c r="G621" s="39">
        <v>17</v>
      </c>
      <c r="H621" s="39">
        <v>306</v>
      </c>
      <c r="I621" s="39"/>
      <c r="J621" s="39"/>
      <c r="K621" s="39"/>
      <c r="L621" s="39"/>
      <c r="M621" s="39"/>
    </row>
    <row r="622" spans="1:13" x14ac:dyDescent="0.25">
      <c r="A622" t="s">
        <v>19</v>
      </c>
    </row>
    <row r="623" spans="1:13" x14ac:dyDescent="0.25">
      <c r="A623" t="s">
        <v>375</v>
      </c>
    </row>
    <row r="624" spans="1:13" x14ac:dyDescent="0.25">
      <c r="A624" t="s">
        <v>376</v>
      </c>
    </row>
    <row r="625" spans="1:1" x14ac:dyDescent="0.25">
      <c r="A625" t="s">
        <v>637</v>
      </c>
    </row>
    <row r="626" spans="1:1" x14ac:dyDescent="0.25">
      <c r="A626" s="38" t="s">
        <v>638</v>
      </c>
    </row>
    <row r="627" spans="1:1" x14ac:dyDescent="0.25">
      <c r="A627" t="s">
        <v>639</v>
      </c>
    </row>
    <row r="628" spans="1:1" x14ac:dyDescent="0.25">
      <c r="A628" s="38" t="s">
        <v>640</v>
      </c>
    </row>
    <row r="629" spans="1:1" x14ac:dyDescent="0.25">
      <c r="A629" t="s">
        <v>641</v>
      </c>
    </row>
    <row r="630" spans="1:1" x14ac:dyDescent="0.25">
      <c r="A630" s="38" t="s">
        <v>642</v>
      </c>
    </row>
    <row r="631" spans="1:1" x14ac:dyDescent="0.25">
      <c r="A631" t="s">
        <v>643</v>
      </c>
    </row>
    <row r="632" spans="1:1" x14ac:dyDescent="0.25">
      <c r="A632" s="38" t="s">
        <v>644</v>
      </c>
    </row>
    <row r="633" spans="1:1" x14ac:dyDescent="0.25">
      <c r="A633" t="s">
        <v>645</v>
      </c>
    </row>
    <row r="634" spans="1:1" x14ac:dyDescent="0.25">
      <c r="A634" s="38" t="s">
        <v>646</v>
      </c>
    </row>
    <row r="635" spans="1:1" x14ac:dyDescent="0.25">
      <c r="A635" t="s">
        <v>647</v>
      </c>
    </row>
    <row r="636" spans="1:1" x14ac:dyDescent="0.25">
      <c r="A636" s="38" t="s">
        <v>648</v>
      </c>
    </row>
    <row r="637" spans="1:1" x14ac:dyDescent="0.25">
      <c r="A637" t="s">
        <v>649</v>
      </c>
    </row>
    <row r="638" spans="1:1" x14ac:dyDescent="0.25">
      <c r="A638" s="38" t="s">
        <v>650</v>
      </c>
    </row>
    <row r="639" spans="1:1" x14ac:dyDescent="0.25">
      <c r="A639" t="s">
        <v>651</v>
      </c>
    </row>
    <row r="640" spans="1:1" x14ac:dyDescent="0.25">
      <c r="A640" s="38" t="s">
        <v>652</v>
      </c>
    </row>
    <row r="641" spans="1:1" x14ac:dyDescent="0.25">
      <c r="A641" t="s">
        <v>653</v>
      </c>
    </row>
    <row r="642" spans="1:1" x14ac:dyDescent="0.25">
      <c r="A642" s="38" t="s">
        <v>654</v>
      </c>
    </row>
    <row r="643" spans="1:1" x14ac:dyDescent="0.25">
      <c r="A643" t="s">
        <v>655</v>
      </c>
    </row>
    <row r="644" spans="1:1" x14ac:dyDescent="0.25">
      <c r="A644" s="38" t="s">
        <v>656</v>
      </c>
    </row>
    <row r="645" spans="1:1" x14ac:dyDescent="0.25">
      <c r="A645" t="s">
        <v>657</v>
      </c>
    </row>
    <row r="646" spans="1:1" x14ac:dyDescent="0.25">
      <c r="A646" s="38" t="s">
        <v>658</v>
      </c>
    </row>
    <row r="647" spans="1:1" x14ac:dyDescent="0.25">
      <c r="A647" t="s">
        <v>659</v>
      </c>
    </row>
    <row r="648" spans="1:1" x14ac:dyDescent="0.25">
      <c r="A648" s="38" t="s">
        <v>660</v>
      </c>
    </row>
    <row r="649" spans="1:1" x14ac:dyDescent="0.25">
      <c r="A649" t="s">
        <v>661</v>
      </c>
    </row>
    <row r="650" spans="1:1" x14ac:dyDescent="0.25">
      <c r="A650" s="38" t="s">
        <v>662</v>
      </c>
    </row>
    <row r="651" spans="1:1" x14ac:dyDescent="0.25">
      <c r="A651" t="s">
        <v>663</v>
      </c>
    </row>
    <row r="652" spans="1:1" x14ac:dyDescent="0.25">
      <c r="A652" s="38" t="s">
        <v>664</v>
      </c>
    </row>
    <row r="653" spans="1:1" x14ac:dyDescent="0.25">
      <c r="A653" t="s">
        <v>665</v>
      </c>
    </row>
    <row r="654" spans="1:1" x14ac:dyDescent="0.25">
      <c r="A654" s="38" t="s">
        <v>666</v>
      </c>
    </row>
    <row r="655" spans="1:1" x14ac:dyDescent="0.25">
      <c r="A655" t="s">
        <v>667</v>
      </c>
    </row>
    <row r="656" spans="1:1" x14ac:dyDescent="0.25">
      <c r="A656" s="38" t="s">
        <v>668</v>
      </c>
    </row>
    <row r="657" spans="1:1" x14ac:dyDescent="0.25">
      <c r="A657" t="s">
        <v>669</v>
      </c>
    </row>
    <row r="658" spans="1:1" x14ac:dyDescent="0.25">
      <c r="A658" s="39" t="s">
        <v>670</v>
      </c>
    </row>
    <row r="659" spans="1:1" x14ac:dyDescent="0.25">
      <c r="A659" t="s">
        <v>671</v>
      </c>
    </row>
    <row r="660" spans="1:1" x14ac:dyDescent="0.25">
      <c r="A660" s="38" t="s">
        <v>672</v>
      </c>
    </row>
    <row r="661" spans="1:1" x14ac:dyDescent="0.25">
      <c r="A661" t="s">
        <v>673</v>
      </c>
    </row>
    <row r="662" spans="1:1" x14ac:dyDescent="0.25">
      <c r="A662" s="38" t="s">
        <v>674</v>
      </c>
    </row>
    <row r="663" spans="1:1" x14ac:dyDescent="0.25">
      <c r="A663" t="s">
        <v>675</v>
      </c>
    </row>
    <row r="664" spans="1:1" x14ac:dyDescent="0.25">
      <c r="A664" s="38" t="s">
        <v>676</v>
      </c>
    </row>
    <row r="665" spans="1:1" x14ac:dyDescent="0.25">
      <c r="A665" t="s">
        <v>677</v>
      </c>
    </row>
    <row r="666" spans="1:1" x14ac:dyDescent="0.25">
      <c r="A666" s="38" t="s">
        <v>678</v>
      </c>
    </row>
    <row r="667" spans="1:1" x14ac:dyDescent="0.25">
      <c r="A667" t="s">
        <v>679</v>
      </c>
    </row>
    <row r="668" spans="1:1" x14ac:dyDescent="0.25">
      <c r="A668" s="38" t="s">
        <v>680</v>
      </c>
    </row>
    <row r="669" spans="1:1" x14ac:dyDescent="0.25">
      <c r="A669" t="s">
        <v>681</v>
      </c>
    </row>
    <row r="670" spans="1:1" x14ac:dyDescent="0.25">
      <c r="A670" s="38" t="s">
        <v>682</v>
      </c>
    </row>
    <row r="671" spans="1:1" x14ac:dyDescent="0.25">
      <c r="A671" t="s">
        <v>683</v>
      </c>
    </row>
    <row r="672" spans="1:1" x14ac:dyDescent="0.25">
      <c r="A672" s="38" t="s">
        <v>684</v>
      </c>
    </row>
    <row r="673" spans="1:1" x14ac:dyDescent="0.25">
      <c r="A673" t="s">
        <v>685</v>
      </c>
    </row>
    <row r="674" spans="1:1" x14ac:dyDescent="0.25">
      <c r="A674" s="38" t="s">
        <v>686</v>
      </c>
    </row>
    <row r="675" spans="1:1" x14ac:dyDescent="0.25">
      <c r="A675" t="s">
        <v>687</v>
      </c>
    </row>
    <row r="676" spans="1:1" x14ac:dyDescent="0.25">
      <c r="A676" s="38" t="s">
        <v>688</v>
      </c>
    </row>
    <row r="677" spans="1:1" x14ac:dyDescent="0.25">
      <c r="A677" t="s">
        <v>689</v>
      </c>
    </row>
    <row r="678" spans="1:1" x14ac:dyDescent="0.25">
      <c r="A678" s="38" t="s">
        <v>690</v>
      </c>
    </row>
    <row r="679" spans="1:1" x14ac:dyDescent="0.25">
      <c r="A679" t="s">
        <v>691</v>
      </c>
    </row>
    <row r="680" spans="1:1" x14ac:dyDescent="0.25">
      <c r="A680" s="38" t="s">
        <v>692</v>
      </c>
    </row>
    <row r="681" spans="1:1" x14ac:dyDescent="0.25">
      <c r="A681" t="s">
        <v>693</v>
      </c>
    </row>
    <row r="682" spans="1:1" x14ac:dyDescent="0.25">
      <c r="A682" s="38" t="s">
        <v>694</v>
      </c>
    </row>
    <row r="683" spans="1:1" x14ac:dyDescent="0.25">
      <c r="A683" t="s">
        <v>695</v>
      </c>
    </row>
    <row r="684" spans="1:1" x14ac:dyDescent="0.25">
      <c r="A684" s="38" t="s">
        <v>696</v>
      </c>
    </row>
    <row r="685" spans="1:1" x14ac:dyDescent="0.25">
      <c r="A685" t="s">
        <v>697</v>
      </c>
    </row>
    <row r="686" spans="1:1" x14ac:dyDescent="0.25">
      <c r="A686" s="38" t="s">
        <v>698</v>
      </c>
    </row>
    <row r="687" spans="1:1" x14ac:dyDescent="0.25">
      <c r="A687" t="s">
        <v>699</v>
      </c>
    </row>
    <row r="688" spans="1:1" x14ac:dyDescent="0.25">
      <c r="A688" s="38" t="s">
        <v>700</v>
      </c>
    </row>
    <row r="689" spans="1:1" x14ac:dyDescent="0.25">
      <c r="A689" t="s">
        <v>701</v>
      </c>
    </row>
    <row r="690" spans="1:1" x14ac:dyDescent="0.25">
      <c r="A690" s="38" t="s">
        <v>702</v>
      </c>
    </row>
    <row r="691" spans="1:1" x14ac:dyDescent="0.25">
      <c r="A691" t="s">
        <v>703</v>
      </c>
    </row>
    <row r="692" spans="1:1" x14ac:dyDescent="0.25">
      <c r="A692" s="39" t="s">
        <v>704</v>
      </c>
    </row>
    <row r="693" spans="1:1" x14ac:dyDescent="0.25">
      <c r="A693" t="s">
        <v>705</v>
      </c>
    </row>
    <row r="694" spans="1:1" x14ac:dyDescent="0.25">
      <c r="A694" s="38" t="s">
        <v>706</v>
      </c>
    </row>
    <row r="695" spans="1:1" x14ac:dyDescent="0.25">
      <c r="A695" t="s">
        <v>707</v>
      </c>
    </row>
    <row r="696" spans="1:1" x14ac:dyDescent="0.25">
      <c r="A696" s="38" t="s">
        <v>708</v>
      </c>
    </row>
    <row r="697" spans="1:1" x14ac:dyDescent="0.25">
      <c r="A697" t="s">
        <v>709</v>
      </c>
    </row>
    <row r="698" spans="1:1" x14ac:dyDescent="0.25">
      <c r="A698" s="38" t="s">
        <v>710</v>
      </c>
    </row>
    <row r="699" spans="1:1" x14ac:dyDescent="0.25">
      <c r="A699" t="s">
        <v>711</v>
      </c>
    </row>
    <row r="700" spans="1:1" x14ac:dyDescent="0.25">
      <c r="A700" s="38" t="s">
        <v>712</v>
      </c>
    </row>
    <row r="701" spans="1:1" x14ac:dyDescent="0.25">
      <c r="A701" t="s">
        <v>713</v>
      </c>
    </row>
    <row r="702" spans="1:1" x14ac:dyDescent="0.25">
      <c r="A702" s="38" t="s">
        <v>714</v>
      </c>
    </row>
    <row r="703" spans="1:1" x14ac:dyDescent="0.25">
      <c r="A703" t="s">
        <v>715</v>
      </c>
    </row>
    <row r="704" spans="1:1" x14ac:dyDescent="0.25">
      <c r="A704" s="38" t="s">
        <v>716</v>
      </c>
    </row>
    <row r="705" spans="1:1" x14ac:dyDescent="0.25">
      <c r="A705" t="s">
        <v>717</v>
      </c>
    </row>
    <row r="706" spans="1:1" x14ac:dyDescent="0.25">
      <c r="A706" s="38" t="s">
        <v>718</v>
      </c>
    </row>
    <row r="707" spans="1:1" x14ac:dyDescent="0.25">
      <c r="A707" t="s">
        <v>719</v>
      </c>
    </row>
    <row r="708" spans="1:1" x14ac:dyDescent="0.25">
      <c r="A708" s="38" t="s">
        <v>720</v>
      </c>
    </row>
    <row r="709" spans="1:1" x14ac:dyDescent="0.25">
      <c r="A709" t="s">
        <v>721</v>
      </c>
    </row>
    <row r="710" spans="1:1" x14ac:dyDescent="0.25">
      <c r="A710" s="38" t="s">
        <v>722</v>
      </c>
    </row>
    <row r="711" spans="1:1" x14ac:dyDescent="0.25">
      <c r="A711" t="s">
        <v>723</v>
      </c>
    </row>
    <row r="712" spans="1:1" x14ac:dyDescent="0.25">
      <c r="A712" s="38" t="s">
        <v>724</v>
      </c>
    </row>
    <row r="713" spans="1:1" x14ac:dyDescent="0.25">
      <c r="A713" t="s">
        <v>725</v>
      </c>
    </row>
    <row r="714" spans="1:1" x14ac:dyDescent="0.25">
      <c r="A714" s="38" t="s">
        <v>726</v>
      </c>
    </row>
    <row r="715" spans="1:1" x14ac:dyDescent="0.25">
      <c r="A715" t="s">
        <v>727</v>
      </c>
    </row>
    <row r="716" spans="1:1" x14ac:dyDescent="0.25">
      <c r="A716" s="38" t="s">
        <v>728</v>
      </c>
    </row>
    <row r="717" spans="1:1" x14ac:dyDescent="0.25">
      <c r="A717" t="s">
        <v>729</v>
      </c>
    </row>
    <row r="718" spans="1:1" x14ac:dyDescent="0.25">
      <c r="A718" s="38" t="s">
        <v>730</v>
      </c>
    </row>
    <row r="719" spans="1:1" x14ac:dyDescent="0.25">
      <c r="A719" t="s">
        <v>731</v>
      </c>
    </row>
    <row r="720" spans="1:1" x14ac:dyDescent="0.25">
      <c r="A720" s="38" t="s">
        <v>732</v>
      </c>
    </row>
    <row r="721" spans="1:1" x14ac:dyDescent="0.25">
      <c r="A721" t="s">
        <v>733</v>
      </c>
    </row>
    <row r="722" spans="1:1" x14ac:dyDescent="0.25">
      <c r="A722" s="38" t="s">
        <v>734</v>
      </c>
    </row>
    <row r="723" spans="1:1" x14ac:dyDescent="0.25">
      <c r="A723" t="s">
        <v>735</v>
      </c>
    </row>
    <row r="724" spans="1:1" x14ac:dyDescent="0.25">
      <c r="A724" s="38" t="s">
        <v>736</v>
      </c>
    </row>
    <row r="725" spans="1:1" x14ac:dyDescent="0.25">
      <c r="A725" t="s">
        <v>737</v>
      </c>
    </row>
    <row r="726" spans="1:1" x14ac:dyDescent="0.25">
      <c r="A726" s="39" t="s">
        <v>738</v>
      </c>
    </row>
    <row r="727" spans="1:1" x14ac:dyDescent="0.25">
      <c r="A727" t="s">
        <v>739</v>
      </c>
    </row>
    <row r="728" spans="1:1" x14ac:dyDescent="0.25">
      <c r="A728" s="38" t="s">
        <v>740</v>
      </c>
    </row>
    <row r="729" spans="1:1" x14ac:dyDescent="0.25">
      <c r="A729" t="s">
        <v>741</v>
      </c>
    </row>
    <row r="730" spans="1:1" x14ac:dyDescent="0.25">
      <c r="A730" s="38" t="s">
        <v>742</v>
      </c>
    </row>
    <row r="731" spans="1:1" x14ac:dyDescent="0.25">
      <c r="A731" t="s">
        <v>743</v>
      </c>
    </row>
    <row r="732" spans="1:1" x14ac:dyDescent="0.25">
      <c r="A732" s="38" t="s">
        <v>744</v>
      </c>
    </row>
    <row r="733" spans="1:1" x14ac:dyDescent="0.25">
      <c r="A733" t="s">
        <v>745</v>
      </c>
    </row>
    <row r="734" spans="1:1" x14ac:dyDescent="0.25">
      <c r="A734" s="38" t="s">
        <v>746</v>
      </c>
    </row>
    <row r="735" spans="1:1" x14ac:dyDescent="0.25">
      <c r="A735" t="s">
        <v>747</v>
      </c>
    </row>
    <row r="736" spans="1:1" x14ac:dyDescent="0.25">
      <c r="A736" s="38" t="s">
        <v>748</v>
      </c>
    </row>
    <row r="737" spans="1:1" x14ac:dyDescent="0.25">
      <c r="A737" t="s">
        <v>749</v>
      </c>
    </row>
    <row r="738" spans="1:1" x14ac:dyDescent="0.25">
      <c r="A738" s="38" t="s">
        <v>750</v>
      </c>
    </row>
    <row r="739" spans="1:1" x14ac:dyDescent="0.25">
      <c r="A739" t="s">
        <v>751</v>
      </c>
    </row>
    <row r="740" spans="1:1" x14ac:dyDescent="0.25">
      <c r="A740" s="38" t="s">
        <v>752</v>
      </c>
    </row>
    <row r="741" spans="1:1" x14ac:dyDescent="0.25">
      <c r="A741" t="s">
        <v>753</v>
      </c>
    </row>
    <row r="742" spans="1:1" x14ac:dyDescent="0.25">
      <c r="A742" s="38" t="s">
        <v>754</v>
      </c>
    </row>
    <row r="743" spans="1:1" x14ac:dyDescent="0.25">
      <c r="A743" t="s">
        <v>755</v>
      </c>
    </row>
    <row r="744" spans="1:1" x14ac:dyDescent="0.25">
      <c r="A744" s="38" t="s">
        <v>756</v>
      </c>
    </row>
    <row r="745" spans="1:1" x14ac:dyDescent="0.25">
      <c r="A745" t="s">
        <v>757</v>
      </c>
    </row>
    <row r="746" spans="1:1" x14ac:dyDescent="0.25">
      <c r="A746" s="38" t="s">
        <v>758</v>
      </c>
    </row>
    <row r="747" spans="1:1" x14ac:dyDescent="0.25">
      <c r="A747" t="s">
        <v>759</v>
      </c>
    </row>
    <row r="748" spans="1:1" x14ac:dyDescent="0.25">
      <c r="A748" s="38" t="s">
        <v>760</v>
      </c>
    </row>
    <row r="749" spans="1:1" x14ac:dyDescent="0.25">
      <c r="A749" t="s">
        <v>761</v>
      </c>
    </row>
    <row r="750" spans="1:1" x14ac:dyDescent="0.25">
      <c r="A750" s="38" t="s">
        <v>762</v>
      </c>
    </row>
    <row r="751" spans="1:1" x14ac:dyDescent="0.25">
      <c r="A751" t="s">
        <v>763</v>
      </c>
    </row>
    <row r="752" spans="1:1" x14ac:dyDescent="0.25">
      <c r="A752" s="38" t="s">
        <v>764</v>
      </c>
    </row>
    <row r="753" spans="1:1" x14ac:dyDescent="0.25">
      <c r="A753" t="s">
        <v>765</v>
      </c>
    </row>
    <row r="754" spans="1:1" x14ac:dyDescent="0.25">
      <c r="A754" s="38" t="s">
        <v>766</v>
      </c>
    </row>
    <row r="755" spans="1:1" x14ac:dyDescent="0.25">
      <c r="A755" t="s">
        <v>767</v>
      </c>
    </row>
    <row r="756" spans="1:1" x14ac:dyDescent="0.25">
      <c r="A756" s="38" t="s">
        <v>768</v>
      </c>
    </row>
    <row r="757" spans="1:1" x14ac:dyDescent="0.25">
      <c r="A757" t="s">
        <v>769</v>
      </c>
    </row>
    <row r="758" spans="1:1" x14ac:dyDescent="0.25">
      <c r="A758" s="38" t="s">
        <v>770</v>
      </c>
    </row>
    <row r="759" spans="1:1" x14ac:dyDescent="0.25">
      <c r="A759" t="s">
        <v>771</v>
      </c>
    </row>
    <row r="760" spans="1:1" x14ac:dyDescent="0.25">
      <c r="A760" s="39" t="s">
        <v>772</v>
      </c>
    </row>
    <row r="761" spans="1:1" x14ac:dyDescent="0.25">
      <c r="A761" t="s">
        <v>773</v>
      </c>
    </row>
    <row r="762" spans="1:1" x14ac:dyDescent="0.25">
      <c r="A762" s="38" t="s">
        <v>774</v>
      </c>
    </row>
    <row r="763" spans="1:1" x14ac:dyDescent="0.25">
      <c r="A763" t="s">
        <v>775</v>
      </c>
    </row>
    <row r="764" spans="1:1" x14ac:dyDescent="0.25">
      <c r="A764" s="38" t="s">
        <v>776</v>
      </c>
    </row>
    <row r="765" spans="1:1" x14ac:dyDescent="0.25">
      <c r="A765" t="s">
        <v>777</v>
      </c>
    </row>
    <row r="766" spans="1:1" x14ac:dyDescent="0.25">
      <c r="A766" s="38" t="s">
        <v>778</v>
      </c>
    </row>
    <row r="767" spans="1:1" x14ac:dyDescent="0.25">
      <c r="A767" t="s">
        <v>779</v>
      </c>
    </row>
    <row r="768" spans="1:1" x14ac:dyDescent="0.25">
      <c r="A768" s="38" t="s">
        <v>780</v>
      </c>
    </row>
    <row r="769" spans="1:1" x14ac:dyDescent="0.25">
      <c r="A769" t="s">
        <v>781</v>
      </c>
    </row>
    <row r="770" spans="1:1" x14ac:dyDescent="0.25">
      <c r="A770" s="38" t="s">
        <v>782</v>
      </c>
    </row>
    <row r="771" spans="1:1" x14ac:dyDescent="0.25">
      <c r="A771" t="s">
        <v>783</v>
      </c>
    </row>
    <row r="772" spans="1:1" x14ac:dyDescent="0.25">
      <c r="A772" s="38" t="s">
        <v>784</v>
      </c>
    </row>
    <row r="773" spans="1:1" x14ac:dyDescent="0.25">
      <c r="A773" t="s">
        <v>785</v>
      </c>
    </row>
    <row r="774" spans="1:1" x14ac:dyDescent="0.25">
      <c r="A774" s="38" t="s">
        <v>786</v>
      </c>
    </row>
    <row r="775" spans="1:1" x14ac:dyDescent="0.25">
      <c r="A775" t="s">
        <v>787</v>
      </c>
    </row>
    <row r="776" spans="1:1" x14ac:dyDescent="0.25">
      <c r="A776" s="38" t="s">
        <v>788</v>
      </c>
    </row>
    <row r="777" spans="1:1" x14ac:dyDescent="0.25">
      <c r="A777" t="s">
        <v>789</v>
      </c>
    </row>
    <row r="778" spans="1:1" x14ac:dyDescent="0.25">
      <c r="A778" s="38" t="s">
        <v>790</v>
      </c>
    </row>
    <row r="779" spans="1:1" x14ac:dyDescent="0.25">
      <c r="A779" t="s">
        <v>791</v>
      </c>
    </row>
    <row r="780" spans="1:1" x14ac:dyDescent="0.25">
      <c r="A780" s="38" t="s">
        <v>792</v>
      </c>
    </row>
    <row r="781" spans="1:1" x14ac:dyDescent="0.25">
      <c r="A781" t="s">
        <v>793</v>
      </c>
    </row>
    <row r="782" spans="1:1" x14ac:dyDescent="0.25">
      <c r="A782" s="38" t="s">
        <v>794</v>
      </c>
    </row>
    <row r="783" spans="1:1" x14ac:dyDescent="0.25">
      <c r="A783" t="s">
        <v>795</v>
      </c>
    </row>
    <row r="784" spans="1:1" x14ac:dyDescent="0.25">
      <c r="A784" s="38" t="s">
        <v>796</v>
      </c>
    </row>
    <row r="785" spans="1:1" x14ac:dyDescent="0.25">
      <c r="A785" t="s">
        <v>797</v>
      </c>
    </row>
    <row r="786" spans="1:1" x14ac:dyDescent="0.25">
      <c r="A786" s="38" t="s">
        <v>798</v>
      </c>
    </row>
    <row r="787" spans="1:1" x14ac:dyDescent="0.25">
      <c r="A787" t="s">
        <v>799</v>
      </c>
    </row>
    <row r="788" spans="1:1" x14ac:dyDescent="0.25">
      <c r="A788" s="38" t="s">
        <v>800</v>
      </c>
    </row>
    <row r="789" spans="1:1" x14ac:dyDescent="0.25">
      <c r="A789" t="s">
        <v>801</v>
      </c>
    </row>
    <row r="790" spans="1:1" x14ac:dyDescent="0.25">
      <c r="A790" s="38" t="s">
        <v>802</v>
      </c>
    </row>
    <row r="791" spans="1:1" x14ac:dyDescent="0.25">
      <c r="A791" t="s">
        <v>803</v>
      </c>
    </row>
    <row r="792" spans="1:1" x14ac:dyDescent="0.25">
      <c r="A792" s="38" t="s">
        <v>804</v>
      </c>
    </row>
    <row r="793" spans="1:1" x14ac:dyDescent="0.25">
      <c r="A793" t="s">
        <v>805</v>
      </c>
    </row>
    <row r="794" spans="1:1" x14ac:dyDescent="0.25">
      <c r="A794" s="39" t="s">
        <v>806</v>
      </c>
    </row>
    <row r="795" spans="1:1" x14ac:dyDescent="0.25">
      <c r="A795" t="s">
        <v>807</v>
      </c>
    </row>
    <row r="796" spans="1:1" x14ac:dyDescent="0.25">
      <c r="A796" s="38" t="s">
        <v>808</v>
      </c>
    </row>
    <row r="797" spans="1:1" x14ac:dyDescent="0.25">
      <c r="A797" t="s">
        <v>809</v>
      </c>
    </row>
    <row r="798" spans="1:1" x14ac:dyDescent="0.25">
      <c r="A798" s="38" t="s">
        <v>810</v>
      </c>
    </row>
    <row r="799" spans="1:1" x14ac:dyDescent="0.25">
      <c r="A799" t="s">
        <v>811</v>
      </c>
    </row>
    <row r="800" spans="1:1" x14ac:dyDescent="0.25">
      <c r="A800" s="38" t="s">
        <v>812</v>
      </c>
    </row>
    <row r="801" spans="1:1" x14ac:dyDescent="0.25">
      <c r="A801" t="s">
        <v>813</v>
      </c>
    </row>
    <row r="802" spans="1:1" x14ac:dyDescent="0.25">
      <c r="A802" s="38" t="s">
        <v>814</v>
      </c>
    </row>
    <row r="803" spans="1:1" x14ac:dyDescent="0.25">
      <c r="A803" t="s">
        <v>815</v>
      </c>
    </row>
    <row r="804" spans="1:1" x14ac:dyDescent="0.25">
      <c r="A804" s="38" t="s">
        <v>816</v>
      </c>
    </row>
    <row r="805" spans="1:1" x14ac:dyDescent="0.25">
      <c r="A805" t="s">
        <v>817</v>
      </c>
    </row>
    <row r="806" spans="1:1" x14ac:dyDescent="0.25">
      <c r="A806" s="38" t="s">
        <v>818</v>
      </c>
    </row>
    <row r="807" spans="1:1" x14ac:dyDescent="0.25">
      <c r="A807" t="s">
        <v>819</v>
      </c>
    </row>
    <row r="808" spans="1:1" x14ac:dyDescent="0.25">
      <c r="A808" s="38" t="s">
        <v>820</v>
      </c>
    </row>
    <row r="809" spans="1:1" x14ac:dyDescent="0.25">
      <c r="A809" t="s">
        <v>821</v>
      </c>
    </row>
    <row r="810" spans="1:1" x14ac:dyDescent="0.25">
      <c r="A810" s="38" t="s">
        <v>822</v>
      </c>
    </row>
    <row r="811" spans="1:1" x14ac:dyDescent="0.25">
      <c r="A811" t="s">
        <v>823</v>
      </c>
    </row>
    <row r="812" spans="1:1" x14ac:dyDescent="0.25">
      <c r="A812" s="38" t="s">
        <v>824</v>
      </c>
    </row>
    <row r="813" spans="1:1" x14ac:dyDescent="0.25">
      <c r="A813" t="s">
        <v>825</v>
      </c>
    </row>
    <row r="814" spans="1:1" x14ac:dyDescent="0.25">
      <c r="A814" s="38" t="s">
        <v>826</v>
      </c>
    </row>
    <row r="815" spans="1:1" x14ac:dyDescent="0.25">
      <c r="A815" t="s">
        <v>827</v>
      </c>
    </row>
    <row r="816" spans="1:1" x14ac:dyDescent="0.25">
      <c r="A816" s="38" t="s">
        <v>828</v>
      </c>
    </row>
    <row r="817" spans="1:1" x14ac:dyDescent="0.25">
      <c r="A817" t="s">
        <v>829</v>
      </c>
    </row>
    <row r="818" spans="1:1" x14ac:dyDescent="0.25">
      <c r="A818" s="38" t="s">
        <v>830</v>
      </c>
    </row>
    <row r="819" spans="1:1" x14ac:dyDescent="0.25">
      <c r="A819" t="s">
        <v>831</v>
      </c>
    </row>
    <row r="820" spans="1:1" x14ac:dyDescent="0.25">
      <c r="A820" s="38" t="s">
        <v>832</v>
      </c>
    </row>
    <row r="821" spans="1:1" x14ac:dyDescent="0.25">
      <c r="A821" t="s">
        <v>833</v>
      </c>
    </row>
    <row r="822" spans="1:1" x14ac:dyDescent="0.25">
      <c r="A822" s="38" t="s">
        <v>834</v>
      </c>
    </row>
    <row r="823" spans="1:1" x14ac:dyDescent="0.25">
      <c r="A823" t="s">
        <v>835</v>
      </c>
    </row>
    <row r="824" spans="1:1" x14ac:dyDescent="0.25">
      <c r="A824" s="38" t="s">
        <v>836</v>
      </c>
    </row>
    <row r="825" spans="1:1" x14ac:dyDescent="0.25">
      <c r="A825" t="s">
        <v>837</v>
      </c>
    </row>
    <row r="826" spans="1:1" x14ac:dyDescent="0.25">
      <c r="A826" s="38" t="s">
        <v>838</v>
      </c>
    </row>
    <row r="827" spans="1:1" x14ac:dyDescent="0.25">
      <c r="A827" t="s">
        <v>839</v>
      </c>
    </row>
    <row r="828" spans="1:1" x14ac:dyDescent="0.25">
      <c r="A828" s="39" t="s">
        <v>840</v>
      </c>
    </row>
    <row r="829" spans="1:1" x14ac:dyDescent="0.25">
      <c r="A829" t="s">
        <v>841</v>
      </c>
    </row>
    <row r="830" spans="1:1" x14ac:dyDescent="0.25">
      <c r="A830" s="38" t="s">
        <v>842</v>
      </c>
    </row>
    <row r="831" spans="1:1" x14ac:dyDescent="0.25">
      <c r="A831" t="s">
        <v>843</v>
      </c>
    </row>
    <row r="832" spans="1:1" x14ac:dyDescent="0.25">
      <c r="A832" s="38" t="s">
        <v>844</v>
      </c>
    </row>
    <row r="833" spans="1:1" x14ac:dyDescent="0.25">
      <c r="A833" t="s">
        <v>845</v>
      </c>
    </row>
    <row r="834" spans="1:1" x14ac:dyDescent="0.25">
      <c r="A834" s="38" t="s">
        <v>846</v>
      </c>
    </row>
    <row r="835" spans="1:1" x14ac:dyDescent="0.25">
      <c r="A835" t="s">
        <v>847</v>
      </c>
    </row>
    <row r="836" spans="1:1" x14ac:dyDescent="0.25">
      <c r="A836" s="38" t="s">
        <v>848</v>
      </c>
    </row>
    <row r="837" spans="1:1" x14ac:dyDescent="0.25">
      <c r="A837" t="s">
        <v>849</v>
      </c>
    </row>
    <row r="838" spans="1:1" x14ac:dyDescent="0.25">
      <c r="A838" s="38" t="s">
        <v>850</v>
      </c>
    </row>
    <row r="839" spans="1:1" x14ac:dyDescent="0.25">
      <c r="A839" t="s">
        <v>851</v>
      </c>
    </row>
    <row r="840" spans="1:1" x14ac:dyDescent="0.25">
      <c r="A840" s="38" t="s">
        <v>852</v>
      </c>
    </row>
    <row r="841" spans="1:1" x14ac:dyDescent="0.25">
      <c r="A841" t="s">
        <v>853</v>
      </c>
    </row>
    <row r="842" spans="1:1" x14ac:dyDescent="0.25">
      <c r="A842" s="38" t="s">
        <v>854</v>
      </c>
    </row>
    <row r="843" spans="1:1" x14ac:dyDescent="0.25">
      <c r="A843" t="s">
        <v>855</v>
      </c>
    </row>
    <row r="844" spans="1:1" x14ac:dyDescent="0.25">
      <c r="A844" s="38" t="s">
        <v>856</v>
      </c>
    </row>
    <row r="845" spans="1:1" x14ac:dyDescent="0.25">
      <c r="A845" t="s">
        <v>857</v>
      </c>
    </row>
    <row r="846" spans="1:1" x14ac:dyDescent="0.25">
      <c r="A846" s="38" t="s">
        <v>858</v>
      </c>
    </row>
    <row r="847" spans="1:1" x14ac:dyDescent="0.25">
      <c r="A847" t="s">
        <v>859</v>
      </c>
    </row>
    <row r="848" spans="1:1" x14ac:dyDescent="0.25">
      <c r="A848" s="38" t="s">
        <v>860</v>
      </c>
    </row>
    <row r="849" spans="1:1" x14ac:dyDescent="0.25">
      <c r="A849" t="s">
        <v>861</v>
      </c>
    </row>
    <row r="850" spans="1:1" x14ac:dyDescent="0.25">
      <c r="A850" s="38" t="s">
        <v>862</v>
      </c>
    </row>
    <row r="851" spans="1:1" x14ac:dyDescent="0.25">
      <c r="A851" t="s">
        <v>863</v>
      </c>
    </row>
    <row r="852" spans="1:1" x14ac:dyDescent="0.25">
      <c r="A852" s="38" t="s">
        <v>864</v>
      </c>
    </row>
    <row r="853" spans="1:1" x14ac:dyDescent="0.25">
      <c r="A853" t="s">
        <v>865</v>
      </c>
    </row>
    <row r="854" spans="1:1" x14ac:dyDescent="0.25">
      <c r="A854" s="38" t="s">
        <v>866</v>
      </c>
    </row>
    <row r="855" spans="1:1" x14ac:dyDescent="0.25">
      <c r="A855" t="s">
        <v>867</v>
      </c>
    </row>
    <row r="856" spans="1:1" x14ac:dyDescent="0.25">
      <c r="A856" s="38" t="s">
        <v>868</v>
      </c>
    </row>
    <row r="857" spans="1:1" x14ac:dyDescent="0.25">
      <c r="A857" t="s">
        <v>869</v>
      </c>
    </row>
    <row r="858" spans="1:1" x14ac:dyDescent="0.25">
      <c r="A858" s="38" t="s">
        <v>870</v>
      </c>
    </row>
    <row r="859" spans="1:1" x14ac:dyDescent="0.25">
      <c r="A859" t="s">
        <v>871</v>
      </c>
    </row>
    <row r="860" spans="1:1" x14ac:dyDescent="0.25">
      <c r="A860" s="38" t="s">
        <v>872</v>
      </c>
    </row>
    <row r="861" spans="1:1" x14ac:dyDescent="0.25">
      <c r="A861" t="s">
        <v>873</v>
      </c>
    </row>
    <row r="862" spans="1:1" x14ac:dyDescent="0.25">
      <c r="A862" s="39" t="s">
        <v>874</v>
      </c>
    </row>
    <row r="863" spans="1:1" x14ac:dyDescent="0.25">
      <c r="A863" t="s">
        <v>875</v>
      </c>
    </row>
    <row r="864" spans="1:1" x14ac:dyDescent="0.25">
      <c r="A864" s="38" t="s">
        <v>876</v>
      </c>
    </row>
    <row r="865" spans="1:1" x14ac:dyDescent="0.25">
      <c r="A865" t="s">
        <v>877</v>
      </c>
    </row>
    <row r="866" spans="1:1" x14ac:dyDescent="0.25">
      <c r="A866" s="38" t="s">
        <v>878</v>
      </c>
    </row>
    <row r="867" spans="1:1" x14ac:dyDescent="0.25">
      <c r="A867" t="s">
        <v>879</v>
      </c>
    </row>
    <row r="868" spans="1:1" x14ac:dyDescent="0.25">
      <c r="A868" s="38" t="s">
        <v>880</v>
      </c>
    </row>
    <row r="869" spans="1:1" x14ac:dyDescent="0.25">
      <c r="A869" t="s">
        <v>881</v>
      </c>
    </row>
    <row r="870" spans="1:1" x14ac:dyDescent="0.25">
      <c r="A870" s="38" t="s">
        <v>882</v>
      </c>
    </row>
    <row r="871" spans="1:1" x14ac:dyDescent="0.25">
      <c r="A871" t="s">
        <v>883</v>
      </c>
    </row>
    <row r="872" spans="1:1" x14ac:dyDescent="0.25">
      <c r="A872" s="38" t="s">
        <v>884</v>
      </c>
    </row>
    <row r="873" spans="1:1" x14ac:dyDescent="0.25">
      <c r="A873" t="s">
        <v>885</v>
      </c>
    </row>
    <row r="874" spans="1:1" x14ac:dyDescent="0.25">
      <c r="A874" s="38" t="s">
        <v>886</v>
      </c>
    </row>
    <row r="875" spans="1:1" x14ac:dyDescent="0.25">
      <c r="A875" t="s">
        <v>887</v>
      </c>
    </row>
    <row r="876" spans="1:1" x14ac:dyDescent="0.25">
      <c r="A876" s="38" t="s">
        <v>888</v>
      </c>
    </row>
    <row r="877" spans="1:1" x14ac:dyDescent="0.25">
      <c r="A877" t="s">
        <v>889</v>
      </c>
    </row>
    <row r="878" spans="1:1" x14ac:dyDescent="0.25">
      <c r="A878" s="38" t="s">
        <v>890</v>
      </c>
    </row>
    <row r="879" spans="1:1" x14ac:dyDescent="0.25">
      <c r="A879" t="s">
        <v>891</v>
      </c>
    </row>
    <row r="880" spans="1:1" x14ac:dyDescent="0.25">
      <c r="A880" s="38" t="s">
        <v>892</v>
      </c>
    </row>
    <row r="881" spans="1:1" x14ac:dyDescent="0.25">
      <c r="A881" t="s">
        <v>893</v>
      </c>
    </row>
    <row r="882" spans="1:1" x14ac:dyDescent="0.25">
      <c r="A882" s="38" t="s">
        <v>894</v>
      </c>
    </row>
    <row r="883" spans="1:1" x14ac:dyDescent="0.25">
      <c r="A883" t="s">
        <v>895</v>
      </c>
    </row>
    <row r="884" spans="1:1" x14ac:dyDescent="0.25">
      <c r="A884" s="38" t="s">
        <v>896</v>
      </c>
    </row>
    <row r="885" spans="1:1" x14ac:dyDescent="0.25">
      <c r="A885" t="s">
        <v>897</v>
      </c>
    </row>
    <row r="886" spans="1:1" x14ac:dyDescent="0.25">
      <c r="A886" s="38" t="s">
        <v>898</v>
      </c>
    </row>
    <row r="887" spans="1:1" x14ac:dyDescent="0.25">
      <c r="A887" t="s">
        <v>899</v>
      </c>
    </row>
    <row r="888" spans="1:1" x14ac:dyDescent="0.25">
      <c r="A888" s="38" t="s">
        <v>900</v>
      </c>
    </row>
    <row r="889" spans="1:1" x14ac:dyDescent="0.25">
      <c r="A889" t="s">
        <v>901</v>
      </c>
    </row>
    <row r="890" spans="1:1" x14ac:dyDescent="0.25">
      <c r="A890" s="38" t="s">
        <v>902</v>
      </c>
    </row>
    <row r="891" spans="1:1" x14ac:dyDescent="0.25">
      <c r="A891" t="s">
        <v>903</v>
      </c>
    </row>
    <row r="892" spans="1:1" x14ac:dyDescent="0.25">
      <c r="A892" s="38" t="s">
        <v>904</v>
      </c>
    </row>
    <row r="893" spans="1:1" x14ac:dyDescent="0.25">
      <c r="A893" t="s">
        <v>905</v>
      </c>
    </row>
    <row r="894" spans="1:1" x14ac:dyDescent="0.25">
      <c r="A894" s="38" t="s">
        <v>906</v>
      </c>
    </row>
    <row r="895" spans="1:1" x14ac:dyDescent="0.25">
      <c r="A895" t="s">
        <v>907</v>
      </c>
    </row>
    <row r="896" spans="1:1" x14ac:dyDescent="0.25">
      <c r="A896" s="39" t="s">
        <v>908</v>
      </c>
    </row>
    <row r="897" spans="1:1" x14ac:dyDescent="0.25">
      <c r="A897" t="s">
        <v>909</v>
      </c>
    </row>
    <row r="898" spans="1:1" x14ac:dyDescent="0.25">
      <c r="A898" s="38" t="s">
        <v>910</v>
      </c>
    </row>
    <row r="899" spans="1:1" x14ac:dyDescent="0.25">
      <c r="A899" t="s">
        <v>911</v>
      </c>
    </row>
    <row r="900" spans="1:1" x14ac:dyDescent="0.25">
      <c r="A900" s="38" t="s">
        <v>912</v>
      </c>
    </row>
    <row r="901" spans="1:1" x14ac:dyDescent="0.25">
      <c r="A901" t="s">
        <v>913</v>
      </c>
    </row>
    <row r="902" spans="1:1" x14ac:dyDescent="0.25">
      <c r="A902" s="38" t="s">
        <v>914</v>
      </c>
    </row>
    <row r="903" spans="1:1" x14ac:dyDescent="0.25">
      <c r="A903" t="s">
        <v>915</v>
      </c>
    </row>
    <row r="904" spans="1:1" x14ac:dyDescent="0.25">
      <c r="A904" s="38" t="s">
        <v>916</v>
      </c>
    </row>
    <row r="905" spans="1:1" x14ac:dyDescent="0.25">
      <c r="A905" t="s">
        <v>917</v>
      </c>
    </row>
    <row r="906" spans="1:1" x14ac:dyDescent="0.25">
      <c r="A906" s="38" t="s">
        <v>918</v>
      </c>
    </row>
    <row r="907" spans="1:1" x14ac:dyDescent="0.25">
      <c r="A907" t="s">
        <v>919</v>
      </c>
    </row>
    <row r="908" spans="1:1" x14ac:dyDescent="0.25">
      <c r="A908" s="38" t="s">
        <v>920</v>
      </c>
    </row>
    <row r="909" spans="1:1" x14ac:dyDescent="0.25">
      <c r="A909" t="s">
        <v>921</v>
      </c>
    </row>
    <row r="910" spans="1:1" x14ac:dyDescent="0.25">
      <c r="A910" s="38" t="s">
        <v>922</v>
      </c>
    </row>
    <row r="911" spans="1:1" x14ac:dyDescent="0.25">
      <c r="A911" t="s">
        <v>923</v>
      </c>
    </row>
    <row r="912" spans="1:1" x14ac:dyDescent="0.25">
      <c r="A912" s="38" t="s">
        <v>924</v>
      </c>
    </row>
    <row r="913" spans="1:1" x14ac:dyDescent="0.25">
      <c r="A913" t="s">
        <v>925</v>
      </c>
    </row>
    <row r="914" spans="1:1" x14ac:dyDescent="0.25">
      <c r="A914" s="38" t="s">
        <v>926</v>
      </c>
    </row>
    <row r="915" spans="1:1" x14ac:dyDescent="0.25">
      <c r="A915" t="s">
        <v>927</v>
      </c>
    </row>
    <row r="916" spans="1:1" x14ac:dyDescent="0.25">
      <c r="A916" s="38" t="s">
        <v>928</v>
      </c>
    </row>
    <row r="917" spans="1:1" x14ac:dyDescent="0.25">
      <c r="A917" t="s">
        <v>929</v>
      </c>
    </row>
    <row r="918" spans="1:1" x14ac:dyDescent="0.25">
      <c r="A918" s="38" t="s">
        <v>930</v>
      </c>
    </row>
    <row r="919" spans="1:1" x14ac:dyDescent="0.25">
      <c r="A919" t="s">
        <v>931</v>
      </c>
    </row>
    <row r="920" spans="1:1" x14ac:dyDescent="0.25">
      <c r="A920" s="38" t="s">
        <v>932</v>
      </c>
    </row>
    <row r="921" spans="1:1" x14ac:dyDescent="0.25">
      <c r="A921" t="s">
        <v>933</v>
      </c>
    </row>
    <row r="922" spans="1:1" x14ac:dyDescent="0.25">
      <c r="A922" s="38" t="s">
        <v>934</v>
      </c>
    </row>
    <row r="923" spans="1:1" x14ac:dyDescent="0.25">
      <c r="A923" t="s">
        <v>935</v>
      </c>
    </row>
    <row r="924" spans="1:1" x14ac:dyDescent="0.25">
      <c r="A924" s="38" t="s">
        <v>936</v>
      </c>
    </row>
    <row r="925" spans="1:1" x14ac:dyDescent="0.25">
      <c r="A925" t="s">
        <v>937</v>
      </c>
    </row>
    <row r="926" spans="1:1" x14ac:dyDescent="0.25">
      <c r="A926" s="38" t="s">
        <v>938</v>
      </c>
    </row>
    <row r="927" spans="1:1" x14ac:dyDescent="0.25">
      <c r="A927" t="s">
        <v>939</v>
      </c>
    </row>
    <row r="928" spans="1:1" x14ac:dyDescent="0.25">
      <c r="A928" s="38" t="s">
        <v>940</v>
      </c>
    </row>
    <row r="929" spans="1:1" x14ac:dyDescent="0.25">
      <c r="A929" t="s">
        <v>941</v>
      </c>
    </row>
    <row r="930" spans="1:1" x14ac:dyDescent="0.25">
      <c r="A930" s="39" t="s">
        <v>942</v>
      </c>
    </row>
    <row r="931" spans="1:1" x14ac:dyDescent="0.25">
      <c r="A931" t="s">
        <v>943</v>
      </c>
    </row>
    <row r="932" spans="1:1" x14ac:dyDescent="0.25">
      <c r="A932" s="38" t="s">
        <v>944</v>
      </c>
    </row>
    <row r="933" spans="1:1" x14ac:dyDescent="0.25">
      <c r="A933" t="s">
        <v>945</v>
      </c>
    </row>
    <row r="934" spans="1:1" x14ac:dyDescent="0.25">
      <c r="A934" s="38" t="s">
        <v>946</v>
      </c>
    </row>
    <row r="935" spans="1:1" x14ac:dyDescent="0.25">
      <c r="A935" t="s">
        <v>947</v>
      </c>
    </row>
    <row r="936" spans="1:1" x14ac:dyDescent="0.25">
      <c r="A936" s="38" t="s">
        <v>948</v>
      </c>
    </row>
    <row r="937" spans="1:1" x14ac:dyDescent="0.25">
      <c r="A937" t="s">
        <v>949</v>
      </c>
    </row>
    <row r="938" spans="1:1" x14ac:dyDescent="0.25">
      <c r="A938" s="38" t="s">
        <v>950</v>
      </c>
    </row>
    <row r="939" spans="1:1" x14ac:dyDescent="0.25">
      <c r="A939" t="s">
        <v>951</v>
      </c>
    </row>
    <row r="940" spans="1:1" x14ac:dyDescent="0.25">
      <c r="A940" s="38" t="s">
        <v>952</v>
      </c>
    </row>
    <row r="941" spans="1:1" x14ac:dyDescent="0.25">
      <c r="A941" t="s">
        <v>953</v>
      </c>
    </row>
    <row r="942" spans="1:1" x14ac:dyDescent="0.25">
      <c r="A942" s="38" t="s">
        <v>954</v>
      </c>
    </row>
    <row r="943" spans="1:1" x14ac:dyDescent="0.25">
      <c r="A943" t="s">
        <v>955</v>
      </c>
    </row>
    <row r="944" spans="1:1" x14ac:dyDescent="0.25">
      <c r="A944" s="38" t="s">
        <v>956</v>
      </c>
    </row>
    <row r="945" spans="1:1" x14ac:dyDescent="0.25">
      <c r="A945" t="s">
        <v>957</v>
      </c>
    </row>
    <row r="946" spans="1:1" x14ac:dyDescent="0.25">
      <c r="A946" s="38" t="s">
        <v>958</v>
      </c>
    </row>
    <row r="947" spans="1:1" x14ac:dyDescent="0.25">
      <c r="A947" t="s">
        <v>959</v>
      </c>
    </row>
    <row r="948" spans="1:1" x14ac:dyDescent="0.25">
      <c r="A948" s="38" t="s">
        <v>960</v>
      </c>
    </row>
    <row r="949" spans="1:1" x14ac:dyDescent="0.25">
      <c r="A949" t="s">
        <v>961</v>
      </c>
    </row>
    <row r="950" spans="1:1" x14ac:dyDescent="0.25">
      <c r="A950" s="38" t="s">
        <v>962</v>
      </c>
    </row>
    <row r="951" spans="1:1" x14ac:dyDescent="0.25">
      <c r="A951" t="s">
        <v>963</v>
      </c>
    </row>
    <row r="952" spans="1:1" x14ac:dyDescent="0.25">
      <c r="A952" s="38" t="s">
        <v>964</v>
      </c>
    </row>
    <row r="953" spans="1:1" x14ac:dyDescent="0.25">
      <c r="A953" t="s">
        <v>965</v>
      </c>
    </row>
    <row r="954" spans="1:1" x14ac:dyDescent="0.25">
      <c r="A954" s="38" t="s">
        <v>966</v>
      </c>
    </row>
    <row r="955" spans="1:1" x14ac:dyDescent="0.25">
      <c r="A955" t="s">
        <v>967</v>
      </c>
    </row>
    <row r="956" spans="1:1" x14ac:dyDescent="0.25">
      <c r="A956" s="38" t="s">
        <v>968</v>
      </c>
    </row>
    <row r="957" spans="1:1" x14ac:dyDescent="0.25">
      <c r="A957" t="s">
        <v>969</v>
      </c>
    </row>
    <row r="958" spans="1:1" x14ac:dyDescent="0.25">
      <c r="A958" s="38" t="s">
        <v>970</v>
      </c>
    </row>
    <row r="959" spans="1:1" x14ac:dyDescent="0.25">
      <c r="A959" t="s">
        <v>971</v>
      </c>
    </row>
    <row r="960" spans="1:1" x14ac:dyDescent="0.25">
      <c r="A960" s="38" t="s">
        <v>972</v>
      </c>
    </row>
    <row r="961" spans="1:1" x14ac:dyDescent="0.25">
      <c r="A961" t="s">
        <v>973</v>
      </c>
    </row>
    <row r="962" spans="1:1" x14ac:dyDescent="0.25">
      <c r="A962" s="38" t="s">
        <v>974</v>
      </c>
    </row>
    <row r="963" spans="1:1" x14ac:dyDescent="0.25">
      <c r="A963" t="s">
        <v>975</v>
      </c>
    </row>
    <row r="964" spans="1:1" x14ac:dyDescent="0.25">
      <c r="A964" s="39" t="s">
        <v>976</v>
      </c>
    </row>
    <row r="965" spans="1:1" x14ac:dyDescent="0.25">
      <c r="A965" t="s">
        <v>977</v>
      </c>
    </row>
    <row r="966" spans="1:1" x14ac:dyDescent="0.25">
      <c r="A966" s="38" t="s">
        <v>978</v>
      </c>
    </row>
    <row r="967" spans="1:1" x14ac:dyDescent="0.25">
      <c r="A967" t="s">
        <v>979</v>
      </c>
    </row>
    <row r="968" spans="1:1" x14ac:dyDescent="0.25">
      <c r="A968" s="38" t="s">
        <v>980</v>
      </c>
    </row>
    <row r="969" spans="1:1" x14ac:dyDescent="0.25">
      <c r="A969" t="s">
        <v>981</v>
      </c>
    </row>
    <row r="970" spans="1:1" x14ac:dyDescent="0.25">
      <c r="A970" s="38" t="s">
        <v>982</v>
      </c>
    </row>
    <row r="971" spans="1:1" x14ac:dyDescent="0.25">
      <c r="A971" t="s">
        <v>983</v>
      </c>
    </row>
    <row r="972" spans="1:1" x14ac:dyDescent="0.25">
      <c r="A972" s="38" t="s">
        <v>984</v>
      </c>
    </row>
    <row r="973" spans="1:1" x14ac:dyDescent="0.25">
      <c r="A973" t="s">
        <v>985</v>
      </c>
    </row>
    <row r="974" spans="1:1" x14ac:dyDescent="0.25">
      <c r="A974" s="38" t="s">
        <v>986</v>
      </c>
    </row>
    <row r="975" spans="1:1" x14ac:dyDescent="0.25">
      <c r="A975" t="s">
        <v>987</v>
      </c>
    </row>
    <row r="976" spans="1:1" x14ac:dyDescent="0.25">
      <c r="A976" s="38" t="s">
        <v>988</v>
      </c>
    </row>
    <row r="977" spans="1:1" x14ac:dyDescent="0.25">
      <c r="A977" t="s">
        <v>989</v>
      </c>
    </row>
    <row r="978" spans="1:1" x14ac:dyDescent="0.25">
      <c r="A978" s="38" t="s">
        <v>990</v>
      </c>
    </row>
    <row r="979" spans="1:1" x14ac:dyDescent="0.25">
      <c r="A979" t="s">
        <v>991</v>
      </c>
    </row>
    <row r="980" spans="1:1" x14ac:dyDescent="0.25">
      <c r="A980" s="38" t="s">
        <v>992</v>
      </c>
    </row>
    <row r="981" spans="1:1" x14ac:dyDescent="0.25">
      <c r="A981" t="s">
        <v>993</v>
      </c>
    </row>
    <row r="982" spans="1:1" x14ac:dyDescent="0.25">
      <c r="A982" s="38" t="s">
        <v>994</v>
      </c>
    </row>
    <row r="983" spans="1:1" x14ac:dyDescent="0.25">
      <c r="A983" t="s">
        <v>995</v>
      </c>
    </row>
    <row r="984" spans="1:1" x14ac:dyDescent="0.25">
      <c r="A984" s="38" t="s">
        <v>996</v>
      </c>
    </row>
    <row r="985" spans="1:1" x14ac:dyDescent="0.25">
      <c r="A985" t="s">
        <v>997</v>
      </c>
    </row>
    <row r="986" spans="1:1" x14ac:dyDescent="0.25">
      <c r="A986" s="38" t="s">
        <v>998</v>
      </c>
    </row>
    <row r="987" spans="1:1" x14ac:dyDescent="0.25">
      <c r="A987" t="s">
        <v>999</v>
      </c>
    </row>
    <row r="988" spans="1:1" x14ac:dyDescent="0.25">
      <c r="A988" s="38" t="s">
        <v>1000</v>
      </c>
    </row>
    <row r="989" spans="1:1" x14ac:dyDescent="0.25">
      <c r="A989" t="s">
        <v>1001</v>
      </c>
    </row>
    <row r="990" spans="1:1" x14ac:dyDescent="0.25">
      <c r="A990" s="38" t="s">
        <v>1002</v>
      </c>
    </row>
    <row r="991" spans="1:1" x14ac:dyDescent="0.25">
      <c r="A991" t="s">
        <v>1003</v>
      </c>
    </row>
    <row r="992" spans="1:1" x14ac:dyDescent="0.25">
      <c r="A992" s="38" t="s">
        <v>1004</v>
      </c>
    </row>
    <row r="993" spans="1:1" x14ac:dyDescent="0.25">
      <c r="A993" t="s">
        <v>1005</v>
      </c>
    </row>
    <row r="994" spans="1:1" x14ac:dyDescent="0.25">
      <c r="A994" s="38" t="s">
        <v>1006</v>
      </c>
    </row>
    <row r="995" spans="1:1" x14ac:dyDescent="0.25">
      <c r="A995" t="s">
        <v>1007</v>
      </c>
    </row>
    <row r="996" spans="1:1" x14ac:dyDescent="0.25">
      <c r="A996" s="38" t="s">
        <v>1008</v>
      </c>
    </row>
    <row r="997" spans="1:1" x14ac:dyDescent="0.25">
      <c r="A997" t="s">
        <v>1009</v>
      </c>
    </row>
    <row r="998" spans="1:1" x14ac:dyDescent="0.25">
      <c r="A998" s="39" t="s">
        <v>1010</v>
      </c>
    </row>
    <row r="999" spans="1:1" x14ac:dyDescent="0.25">
      <c r="A999" t="s">
        <v>1011</v>
      </c>
    </row>
    <row r="1000" spans="1:1" x14ac:dyDescent="0.25">
      <c r="A1000" s="38" t="s">
        <v>1012</v>
      </c>
    </row>
    <row r="1001" spans="1:1" x14ac:dyDescent="0.25">
      <c r="A1001" t="s">
        <v>1013</v>
      </c>
    </row>
    <row r="1002" spans="1:1" x14ac:dyDescent="0.25">
      <c r="A1002" s="38" t="s">
        <v>1014</v>
      </c>
    </row>
    <row r="1003" spans="1:1" x14ac:dyDescent="0.25">
      <c r="A1003" t="s">
        <v>1015</v>
      </c>
    </row>
    <row r="1004" spans="1:1" x14ac:dyDescent="0.25">
      <c r="A1004" s="38" t="s">
        <v>1016</v>
      </c>
    </row>
    <row r="1005" spans="1:1" x14ac:dyDescent="0.25">
      <c r="A1005" t="s">
        <v>1017</v>
      </c>
    </row>
    <row r="1006" spans="1:1" x14ac:dyDescent="0.25">
      <c r="A1006" s="38" t="s">
        <v>1018</v>
      </c>
    </row>
    <row r="1007" spans="1:1" x14ac:dyDescent="0.25">
      <c r="A1007" t="s">
        <v>1019</v>
      </c>
    </row>
    <row r="1008" spans="1:1" x14ac:dyDescent="0.25">
      <c r="A1008" s="38" t="s">
        <v>1020</v>
      </c>
    </row>
    <row r="1009" spans="1:1" x14ac:dyDescent="0.25">
      <c r="A1009" t="s">
        <v>1021</v>
      </c>
    </row>
    <row r="1010" spans="1:1" x14ac:dyDescent="0.25">
      <c r="A1010" s="38" t="s">
        <v>1022</v>
      </c>
    </row>
    <row r="1011" spans="1:1" x14ac:dyDescent="0.25">
      <c r="A1011" t="s">
        <v>1023</v>
      </c>
    </row>
    <row r="1012" spans="1:1" x14ac:dyDescent="0.25">
      <c r="A1012" s="38" t="s">
        <v>1024</v>
      </c>
    </row>
    <row r="1013" spans="1:1" x14ac:dyDescent="0.25">
      <c r="A1013" t="s">
        <v>1025</v>
      </c>
    </row>
    <row r="1014" spans="1:1" x14ac:dyDescent="0.25">
      <c r="A1014" s="38" t="s">
        <v>1026</v>
      </c>
    </row>
    <row r="1015" spans="1:1" x14ac:dyDescent="0.25">
      <c r="A1015" t="s">
        <v>1027</v>
      </c>
    </row>
    <row r="1016" spans="1:1" x14ac:dyDescent="0.25">
      <c r="A1016" s="38" t="s">
        <v>1028</v>
      </c>
    </row>
    <row r="1017" spans="1:1" x14ac:dyDescent="0.25">
      <c r="A1017" t="s">
        <v>1029</v>
      </c>
    </row>
    <row r="1018" spans="1:1" x14ac:dyDescent="0.25">
      <c r="A1018" s="38" t="s">
        <v>1030</v>
      </c>
    </row>
    <row r="1019" spans="1:1" x14ac:dyDescent="0.25">
      <c r="A1019" t="s">
        <v>1031</v>
      </c>
    </row>
    <row r="1020" spans="1:1" x14ac:dyDescent="0.25">
      <c r="A1020" s="38" t="s">
        <v>1032</v>
      </c>
    </row>
    <row r="1021" spans="1:1" x14ac:dyDescent="0.25">
      <c r="A1021" t="s">
        <v>1033</v>
      </c>
    </row>
    <row r="1022" spans="1:1" x14ac:dyDescent="0.25">
      <c r="A1022" s="38" t="s">
        <v>1034</v>
      </c>
    </row>
    <row r="1023" spans="1:1" x14ac:dyDescent="0.25">
      <c r="A1023" t="s">
        <v>1035</v>
      </c>
    </row>
    <row r="1024" spans="1:1" x14ac:dyDescent="0.25">
      <c r="A1024" s="38" t="s">
        <v>1036</v>
      </c>
    </row>
    <row r="1025" spans="1:1" x14ac:dyDescent="0.25">
      <c r="A1025" t="s">
        <v>1037</v>
      </c>
    </row>
    <row r="1026" spans="1:1" x14ac:dyDescent="0.25">
      <c r="A1026" s="38" t="s">
        <v>1038</v>
      </c>
    </row>
    <row r="1027" spans="1:1" x14ac:dyDescent="0.25">
      <c r="A1027" t="s">
        <v>1039</v>
      </c>
    </row>
    <row r="1028" spans="1:1" x14ac:dyDescent="0.25">
      <c r="A1028" s="38" t="s">
        <v>1040</v>
      </c>
    </row>
    <row r="1029" spans="1:1" x14ac:dyDescent="0.25">
      <c r="A1029" t="s">
        <v>1041</v>
      </c>
    </row>
    <row r="1030" spans="1:1" x14ac:dyDescent="0.25">
      <c r="A1030" s="38" t="s">
        <v>1042</v>
      </c>
    </row>
    <row r="1031" spans="1:1" x14ac:dyDescent="0.25">
      <c r="A1031" t="s">
        <v>1043</v>
      </c>
    </row>
    <row r="1032" spans="1:1" x14ac:dyDescent="0.25">
      <c r="A1032" s="39" t="s">
        <v>1044</v>
      </c>
    </row>
    <row r="1033" spans="1:1" x14ac:dyDescent="0.25">
      <c r="A1033" t="s">
        <v>1045</v>
      </c>
    </row>
    <row r="1034" spans="1:1" x14ac:dyDescent="0.25">
      <c r="A1034" s="38" t="s">
        <v>1046</v>
      </c>
    </row>
    <row r="1035" spans="1:1" x14ac:dyDescent="0.25">
      <c r="A1035" t="s">
        <v>1047</v>
      </c>
    </row>
    <row r="1036" spans="1:1" x14ac:dyDescent="0.25">
      <c r="A1036" s="38" t="s">
        <v>1048</v>
      </c>
    </row>
    <row r="1037" spans="1:1" x14ac:dyDescent="0.25">
      <c r="A1037" t="s">
        <v>1049</v>
      </c>
    </row>
    <row r="1038" spans="1:1" x14ac:dyDescent="0.25">
      <c r="A1038" s="38" t="s">
        <v>1050</v>
      </c>
    </row>
    <row r="1039" spans="1:1" x14ac:dyDescent="0.25">
      <c r="A1039" t="s">
        <v>1051</v>
      </c>
    </row>
    <row r="1040" spans="1:1" x14ac:dyDescent="0.25">
      <c r="A1040" s="38" t="s">
        <v>1052</v>
      </c>
    </row>
    <row r="1041" spans="1:1" x14ac:dyDescent="0.25">
      <c r="A1041" t="s">
        <v>1053</v>
      </c>
    </row>
    <row r="1042" spans="1:1" x14ac:dyDescent="0.25">
      <c r="A1042" s="38" t="s">
        <v>1054</v>
      </c>
    </row>
    <row r="1043" spans="1:1" x14ac:dyDescent="0.25">
      <c r="A1043" t="s">
        <v>1055</v>
      </c>
    </row>
    <row r="1044" spans="1:1" x14ac:dyDescent="0.25">
      <c r="A1044" s="38" t="s">
        <v>1056</v>
      </c>
    </row>
    <row r="1045" spans="1:1" x14ac:dyDescent="0.25">
      <c r="A1045" t="s">
        <v>1057</v>
      </c>
    </row>
    <row r="1046" spans="1:1" x14ac:dyDescent="0.25">
      <c r="A1046" s="38" t="s">
        <v>1058</v>
      </c>
    </row>
    <row r="1047" spans="1:1" x14ac:dyDescent="0.25">
      <c r="A1047" t="s">
        <v>1059</v>
      </c>
    </row>
    <row r="1048" spans="1:1" x14ac:dyDescent="0.25">
      <c r="A1048" s="38" t="s">
        <v>1060</v>
      </c>
    </row>
    <row r="1049" spans="1:1" x14ac:dyDescent="0.25">
      <c r="A1049" t="s">
        <v>1061</v>
      </c>
    </row>
    <row r="1050" spans="1:1" x14ac:dyDescent="0.25">
      <c r="A1050" s="38" t="s">
        <v>1062</v>
      </c>
    </row>
    <row r="1051" spans="1:1" x14ac:dyDescent="0.25">
      <c r="A1051" t="s">
        <v>1063</v>
      </c>
    </row>
    <row r="1052" spans="1:1" x14ac:dyDescent="0.25">
      <c r="A1052" s="38" t="s">
        <v>1064</v>
      </c>
    </row>
    <row r="1053" spans="1:1" x14ac:dyDescent="0.25">
      <c r="A1053" t="s">
        <v>1065</v>
      </c>
    </row>
    <row r="1054" spans="1:1" x14ac:dyDescent="0.25">
      <c r="A1054" s="38" t="s">
        <v>1066</v>
      </c>
    </row>
    <row r="1055" spans="1:1" x14ac:dyDescent="0.25">
      <c r="A1055" t="s">
        <v>1067</v>
      </c>
    </row>
    <row r="1056" spans="1:1" x14ac:dyDescent="0.25">
      <c r="A1056" s="38" t="s">
        <v>1068</v>
      </c>
    </row>
    <row r="1057" spans="1:1" x14ac:dyDescent="0.25">
      <c r="A1057" t="s">
        <v>1069</v>
      </c>
    </row>
    <row r="1058" spans="1:1" x14ac:dyDescent="0.25">
      <c r="A1058" s="38" t="s">
        <v>1070</v>
      </c>
    </row>
    <row r="1059" spans="1:1" x14ac:dyDescent="0.25">
      <c r="A1059" t="s">
        <v>1071</v>
      </c>
    </row>
    <row r="1060" spans="1:1" x14ac:dyDescent="0.25">
      <c r="A1060" s="38" t="s">
        <v>1072</v>
      </c>
    </row>
    <row r="1061" spans="1:1" x14ac:dyDescent="0.25">
      <c r="A1061" t="s">
        <v>1073</v>
      </c>
    </row>
    <row r="1062" spans="1:1" x14ac:dyDescent="0.25">
      <c r="A1062" s="38" t="s">
        <v>1074</v>
      </c>
    </row>
    <row r="1063" spans="1:1" x14ac:dyDescent="0.25">
      <c r="A1063" t="s">
        <v>1075</v>
      </c>
    </row>
    <row r="1064" spans="1:1" x14ac:dyDescent="0.25">
      <c r="A1064" s="38" t="s">
        <v>1076</v>
      </c>
    </row>
    <row r="1065" spans="1:1" x14ac:dyDescent="0.25">
      <c r="A1065" t="s">
        <v>1077</v>
      </c>
    </row>
    <row r="1066" spans="1:1" x14ac:dyDescent="0.25">
      <c r="A1066" s="39" t="s">
        <v>1078</v>
      </c>
    </row>
    <row r="1067" spans="1:1" x14ac:dyDescent="0.25">
      <c r="A1067" t="s">
        <v>1079</v>
      </c>
    </row>
    <row r="1068" spans="1:1" x14ac:dyDescent="0.25">
      <c r="A1068" s="38" t="s">
        <v>1080</v>
      </c>
    </row>
    <row r="1069" spans="1:1" x14ac:dyDescent="0.25">
      <c r="A1069" t="s">
        <v>1081</v>
      </c>
    </row>
    <row r="1070" spans="1:1" x14ac:dyDescent="0.25">
      <c r="A1070" s="38" t="s">
        <v>1082</v>
      </c>
    </row>
    <row r="1071" spans="1:1" x14ac:dyDescent="0.25">
      <c r="A1071" t="s">
        <v>1083</v>
      </c>
    </row>
    <row r="1072" spans="1:1" x14ac:dyDescent="0.25">
      <c r="A1072" s="38" t="s">
        <v>1084</v>
      </c>
    </row>
    <row r="1073" spans="1:1" x14ac:dyDescent="0.25">
      <c r="A1073" t="s">
        <v>1085</v>
      </c>
    </row>
    <row r="1074" spans="1:1" x14ac:dyDescent="0.25">
      <c r="A1074" s="38" t="s">
        <v>1086</v>
      </c>
    </row>
    <row r="1075" spans="1:1" x14ac:dyDescent="0.25">
      <c r="A1075" t="s">
        <v>1087</v>
      </c>
    </row>
    <row r="1076" spans="1:1" x14ac:dyDescent="0.25">
      <c r="A1076" s="38" t="s">
        <v>1088</v>
      </c>
    </row>
    <row r="1077" spans="1:1" x14ac:dyDescent="0.25">
      <c r="A1077" t="s">
        <v>1089</v>
      </c>
    </row>
    <row r="1078" spans="1:1" x14ac:dyDescent="0.25">
      <c r="A1078" s="38" t="s">
        <v>1090</v>
      </c>
    </row>
    <row r="1079" spans="1:1" x14ac:dyDescent="0.25">
      <c r="A1079" t="s">
        <v>1091</v>
      </c>
    </row>
    <row r="1080" spans="1:1" x14ac:dyDescent="0.25">
      <c r="A1080" s="38" t="s">
        <v>1092</v>
      </c>
    </row>
    <row r="1081" spans="1:1" x14ac:dyDescent="0.25">
      <c r="A1081" t="s">
        <v>1093</v>
      </c>
    </row>
    <row r="1082" spans="1:1" x14ac:dyDescent="0.25">
      <c r="A1082" s="38" t="s">
        <v>1094</v>
      </c>
    </row>
    <row r="1083" spans="1:1" x14ac:dyDescent="0.25">
      <c r="A1083" t="s">
        <v>1095</v>
      </c>
    </row>
    <row r="1084" spans="1:1" x14ac:dyDescent="0.25">
      <c r="A1084" s="38" t="s">
        <v>1096</v>
      </c>
    </row>
    <row r="1085" spans="1:1" x14ac:dyDescent="0.25">
      <c r="A1085" t="s">
        <v>1097</v>
      </c>
    </row>
    <row r="1086" spans="1:1" x14ac:dyDescent="0.25">
      <c r="A1086" s="38" t="s">
        <v>1098</v>
      </c>
    </row>
    <row r="1087" spans="1:1" x14ac:dyDescent="0.25">
      <c r="A1087" t="s">
        <v>1099</v>
      </c>
    </row>
    <row r="1088" spans="1:1" x14ac:dyDescent="0.25">
      <c r="A1088" s="38" t="s">
        <v>1100</v>
      </c>
    </row>
    <row r="1089" spans="1:1" x14ac:dyDescent="0.25">
      <c r="A1089" t="s">
        <v>1101</v>
      </c>
    </row>
    <row r="1090" spans="1:1" x14ac:dyDescent="0.25">
      <c r="A1090" s="38" t="s">
        <v>1102</v>
      </c>
    </row>
    <row r="1091" spans="1:1" x14ac:dyDescent="0.25">
      <c r="A1091" t="s">
        <v>1103</v>
      </c>
    </row>
    <row r="1092" spans="1:1" x14ac:dyDescent="0.25">
      <c r="A1092" s="38" t="s">
        <v>1104</v>
      </c>
    </row>
    <row r="1093" spans="1:1" x14ac:dyDescent="0.25">
      <c r="A1093" t="s">
        <v>1105</v>
      </c>
    </row>
    <row r="1094" spans="1:1" x14ac:dyDescent="0.25">
      <c r="A1094" s="38" t="s">
        <v>1106</v>
      </c>
    </row>
    <row r="1095" spans="1:1" x14ac:dyDescent="0.25">
      <c r="A1095" t="s">
        <v>1107</v>
      </c>
    </row>
    <row r="1096" spans="1:1" x14ac:dyDescent="0.25">
      <c r="A1096" s="38" t="s">
        <v>1108</v>
      </c>
    </row>
    <row r="1097" spans="1:1" x14ac:dyDescent="0.25">
      <c r="A1097" t="s">
        <v>1109</v>
      </c>
    </row>
    <row r="1098" spans="1:1" x14ac:dyDescent="0.25">
      <c r="A1098" s="38" t="s">
        <v>1110</v>
      </c>
    </row>
    <row r="1099" spans="1:1" x14ac:dyDescent="0.25">
      <c r="A1099" t="s">
        <v>1111</v>
      </c>
    </row>
    <row r="1100" spans="1:1" x14ac:dyDescent="0.25">
      <c r="A1100" s="39" t="s">
        <v>1112</v>
      </c>
    </row>
    <row r="1101" spans="1:1" x14ac:dyDescent="0.25">
      <c r="A1101" t="s">
        <v>1113</v>
      </c>
    </row>
    <row r="1102" spans="1:1" x14ac:dyDescent="0.25">
      <c r="A1102" s="38" t="s">
        <v>1114</v>
      </c>
    </row>
    <row r="1103" spans="1:1" x14ac:dyDescent="0.25">
      <c r="A1103" t="s">
        <v>1115</v>
      </c>
    </row>
    <row r="1104" spans="1:1" x14ac:dyDescent="0.25">
      <c r="A1104" s="38" t="s">
        <v>1116</v>
      </c>
    </row>
    <row r="1105" spans="1:1" x14ac:dyDescent="0.25">
      <c r="A1105" t="s">
        <v>1117</v>
      </c>
    </row>
    <row r="1106" spans="1:1" x14ac:dyDescent="0.25">
      <c r="A1106" s="38" t="s">
        <v>1118</v>
      </c>
    </row>
    <row r="1107" spans="1:1" x14ac:dyDescent="0.25">
      <c r="A1107" t="s">
        <v>1119</v>
      </c>
    </row>
    <row r="1108" spans="1:1" x14ac:dyDescent="0.25">
      <c r="A1108" s="38" t="s">
        <v>1120</v>
      </c>
    </row>
    <row r="1109" spans="1:1" x14ac:dyDescent="0.25">
      <c r="A1109" t="s">
        <v>1121</v>
      </c>
    </row>
    <row r="1110" spans="1:1" x14ac:dyDescent="0.25">
      <c r="A1110" s="38" t="s">
        <v>1122</v>
      </c>
    </row>
    <row r="1111" spans="1:1" x14ac:dyDescent="0.25">
      <c r="A1111" t="s">
        <v>1123</v>
      </c>
    </row>
    <row r="1112" spans="1:1" x14ac:dyDescent="0.25">
      <c r="A1112" s="38" t="s">
        <v>1124</v>
      </c>
    </row>
    <row r="1113" spans="1:1" x14ac:dyDescent="0.25">
      <c r="A1113" t="s">
        <v>1125</v>
      </c>
    </row>
    <row r="1114" spans="1:1" x14ac:dyDescent="0.25">
      <c r="A1114" s="38" t="s">
        <v>1126</v>
      </c>
    </row>
    <row r="1115" spans="1:1" x14ac:dyDescent="0.25">
      <c r="A1115" t="s">
        <v>1127</v>
      </c>
    </row>
    <row r="1116" spans="1:1" x14ac:dyDescent="0.25">
      <c r="A1116" s="38" t="s">
        <v>1128</v>
      </c>
    </row>
    <row r="1117" spans="1:1" x14ac:dyDescent="0.25">
      <c r="A1117" t="s">
        <v>1129</v>
      </c>
    </row>
    <row r="1118" spans="1:1" x14ac:dyDescent="0.25">
      <c r="A1118" s="38" t="s">
        <v>1130</v>
      </c>
    </row>
    <row r="1119" spans="1:1" x14ac:dyDescent="0.25">
      <c r="A1119" t="s">
        <v>1131</v>
      </c>
    </row>
    <row r="1120" spans="1:1" x14ac:dyDescent="0.25">
      <c r="A1120" s="38" t="s">
        <v>1132</v>
      </c>
    </row>
    <row r="1121" spans="1:1" x14ac:dyDescent="0.25">
      <c r="A1121" t="s">
        <v>1133</v>
      </c>
    </row>
    <row r="1122" spans="1:1" x14ac:dyDescent="0.25">
      <c r="A1122" s="38" t="s">
        <v>1134</v>
      </c>
    </row>
    <row r="1123" spans="1:1" x14ac:dyDescent="0.25">
      <c r="A1123" t="s">
        <v>1135</v>
      </c>
    </row>
    <row r="1124" spans="1:1" x14ac:dyDescent="0.25">
      <c r="A1124" s="38" t="s">
        <v>1136</v>
      </c>
    </row>
    <row r="1125" spans="1:1" x14ac:dyDescent="0.25">
      <c r="A1125" t="s">
        <v>1137</v>
      </c>
    </row>
    <row r="1126" spans="1:1" x14ac:dyDescent="0.25">
      <c r="A1126" s="38" t="s">
        <v>1138</v>
      </c>
    </row>
    <row r="1127" spans="1:1" x14ac:dyDescent="0.25">
      <c r="A1127" t="s">
        <v>1139</v>
      </c>
    </row>
    <row r="1128" spans="1:1" x14ac:dyDescent="0.25">
      <c r="A1128" s="38" t="s">
        <v>1140</v>
      </c>
    </row>
    <row r="1129" spans="1:1" x14ac:dyDescent="0.25">
      <c r="A1129" t="s">
        <v>1141</v>
      </c>
    </row>
    <row r="1130" spans="1:1" x14ac:dyDescent="0.25">
      <c r="A1130" s="38" t="s">
        <v>1142</v>
      </c>
    </row>
    <row r="1131" spans="1:1" x14ac:dyDescent="0.25">
      <c r="A1131" t="s">
        <v>1143</v>
      </c>
    </row>
    <row r="1132" spans="1:1" x14ac:dyDescent="0.25">
      <c r="A1132" s="38" t="s">
        <v>1144</v>
      </c>
    </row>
    <row r="1133" spans="1:1" x14ac:dyDescent="0.25">
      <c r="A1133" t="s">
        <v>1145</v>
      </c>
    </row>
    <row r="1134" spans="1:1" x14ac:dyDescent="0.25">
      <c r="A1134" s="39" t="s">
        <v>1146</v>
      </c>
    </row>
    <row r="1135" spans="1:1" x14ac:dyDescent="0.25">
      <c r="A1135" t="s">
        <v>1147</v>
      </c>
    </row>
    <row r="1136" spans="1:1" x14ac:dyDescent="0.25">
      <c r="A1136" s="38" t="s">
        <v>1148</v>
      </c>
    </row>
    <row r="1137" spans="1:1" x14ac:dyDescent="0.25">
      <c r="A1137" t="s">
        <v>1149</v>
      </c>
    </row>
    <row r="1138" spans="1:1" x14ac:dyDescent="0.25">
      <c r="A1138" s="38" t="s">
        <v>1150</v>
      </c>
    </row>
    <row r="1139" spans="1:1" x14ac:dyDescent="0.25">
      <c r="A1139" t="s">
        <v>1151</v>
      </c>
    </row>
    <row r="1140" spans="1:1" x14ac:dyDescent="0.25">
      <c r="A1140" s="38" t="s">
        <v>1152</v>
      </c>
    </row>
    <row r="1141" spans="1:1" x14ac:dyDescent="0.25">
      <c r="A1141" t="s">
        <v>1153</v>
      </c>
    </row>
    <row r="1142" spans="1:1" x14ac:dyDescent="0.25">
      <c r="A1142" s="38" t="s">
        <v>1154</v>
      </c>
    </row>
    <row r="1143" spans="1:1" x14ac:dyDescent="0.25">
      <c r="A1143" t="s">
        <v>1155</v>
      </c>
    </row>
    <row r="1144" spans="1:1" x14ac:dyDescent="0.25">
      <c r="A1144" s="38" t="s">
        <v>1156</v>
      </c>
    </row>
    <row r="1145" spans="1:1" x14ac:dyDescent="0.25">
      <c r="A1145" t="s">
        <v>1157</v>
      </c>
    </row>
    <row r="1146" spans="1:1" x14ac:dyDescent="0.25">
      <c r="A1146" s="38" t="s">
        <v>1158</v>
      </c>
    </row>
    <row r="1147" spans="1:1" x14ac:dyDescent="0.25">
      <c r="A1147" t="s">
        <v>1159</v>
      </c>
    </row>
    <row r="1148" spans="1:1" x14ac:dyDescent="0.25">
      <c r="A1148" s="38" t="s">
        <v>1160</v>
      </c>
    </row>
    <row r="1149" spans="1:1" x14ac:dyDescent="0.25">
      <c r="A1149" t="s">
        <v>1161</v>
      </c>
    </row>
    <row r="1150" spans="1:1" x14ac:dyDescent="0.25">
      <c r="A1150" s="38" t="s">
        <v>1162</v>
      </c>
    </row>
    <row r="1151" spans="1:1" x14ac:dyDescent="0.25">
      <c r="A1151" t="s">
        <v>1163</v>
      </c>
    </row>
    <row r="1152" spans="1:1" x14ac:dyDescent="0.25">
      <c r="A1152" s="38" t="s">
        <v>1164</v>
      </c>
    </row>
    <row r="1153" spans="1:1" x14ac:dyDescent="0.25">
      <c r="A1153" t="s">
        <v>1165</v>
      </c>
    </row>
    <row r="1154" spans="1:1" x14ac:dyDescent="0.25">
      <c r="A1154" s="38" t="s">
        <v>1166</v>
      </c>
    </row>
    <row r="1155" spans="1:1" x14ac:dyDescent="0.25">
      <c r="A1155" t="s">
        <v>1167</v>
      </c>
    </row>
    <row r="1156" spans="1:1" x14ac:dyDescent="0.25">
      <c r="A1156" s="38" t="s">
        <v>1168</v>
      </c>
    </row>
    <row r="1157" spans="1:1" x14ac:dyDescent="0.25">
      <c r="A1157" t="s">
        <v>1169</v>
      </c>
    </row>
    <row r="1158" spans="1:1" x14ac:dyDescent="0.25">
      <c r="A1158" s="38" t="s">
        <v>1170</v>
      </c>
    </row>
    <row r="1159" spans="1:1" x14ac:dyDescent="0.25">
      <c r="A1159" t="s">
        <v>1171</v>
      </c>
    </row>
    <row r="1160" spans="1:1" x14ac:dyDescent="0.25">
      <c r="A1160" s="38" t="s">
        <v>1172</v>
      </c>
    </row>
    <row r="1161" spans="1:1" x14ac:dyDescent="0.25">
      <c r="A1161" t="s">
        <v>1173</v>
      </c>
    </row>
    <row r="1162" spans="1:1" x14ac:dyDescent="0.25">
      <c r="A1162" s="38" t="s">
        <v>1174</v>
      </c>
    </row>
    <row r="1163" spans="1:1" x14ac:dyDescent="0.25">
      <c r="A1163" t="s">
        <v>1175</v>
      </c>
    </row>
    <row r="1164" spans="1:1" x14ac:dyDescent="0.25">
      <c r="A1164" s="38" t="s">
        <v>1176</v>
      </c>
    </row>
    <row r="1165" spans="1:1" x14ac:dyDescent="0.25">
      <c r="A1165" t="s">
        <v>1177</v>
      </c>
    </row>
    <row r="1166" spans="1:1" x14ac:dyDescent="0.25">
      <c r="A1166" s="38" t="s">
        <v>1178</v>
      </c>
    </row>
    <row r="1167" spans="1:1" x14ac:dyDescent="0.25">
      <c r="A1167" t="s">
        <v>1179</v>
      </c>
    </row>
    <row r="1168" spans="1:1" x14ac:dyDescent="0.25">
      <c r="A1168" s="39" t="s">
        <v>1180</v>
      </c>
    </row>
    <row r="1169" spans="1:1" x14ac:dyDescent="0.25">
      <c r="A1169" t="s">
        <v>1181</v>
      </c>
    </row>
    <row r="1170" spans="1:1" x14ac:dyDescent="0.25">
      <c r="A1170" s="38" t="s">
        <v>1182</v>
      </c>
    </row>
    <row r="1171" spans="1:1" x14ac:dyDescent="0.25">
      <c r="A1171" t="s">
        <v>1183</v>
      </c>
    </row>
    <row r="1172" spans="1:1" x14ac:dyDescent="0.25">
      <c r="A1172" s="38" t="s">
        <v>1184</v>
      </c>
    </row>
    <row r="1173" spans="1:1" x14ac:dyDescent="0.25">
      <c r="A1173" t="s">
        <v>1185</v>
      </c>
    </row>
    <row r="1174" spans="1:1" x14ac:dyDescent="0.25">
      <c r="A1174" s="38" t="s">
        <v>1186</v>
      </c>
    </row>
    <row r="1175" spans="1:1" x14ac:dyDescent="0.25">
      <c r="A1175" t="s">
        <v>1187</v>
      </c>
    </row>
    <row r="1176" spans="1:1" x14ac:dyDescent="0.25">
      <c r="A1176" s="38" t="s">
        <v>1188</v>
      </c>
    </row>
    <row r="1177" spans="1:1" x14ac:dyDescent="0.25">
      <c r="A1177" t="s">
        <v>1189</v>
      </c>
    </row>
    <row r="1178" spans="1:1" x14ac:dyDescent="0.25">
      <c r="A1178" s="38" t="s">
        <v>1190</v>
      </c>
    </row>
    <row r="1179" spans="1:1" x14ac:dyDescent="0.25">
      <c r="A1179" t="s">
        <v>1191</v>
      </c>
    </row>
    <row r="1180" spans="1:1" x14ac:dyDescent="0.25">
      <c r="A1180" s="38" t="s">
        <v>1192</v>
      </c>
    </row>
    <row r="1181" spans="1:1" x14ac:dyDescent="0.25">
      <c r="A1181" t="s">
        <v>1193</v>
      </c>
    </row>
    <row r="1182" spans="1:1" x14ac:dyDescent="0.25">
      <c r="A1182" s="38" t="s">
        <v>1194</v>
      </c>
    </row>
    <row r="1183" spans="1:1" x14ac:dyDescent="0.25">
      <c r="A1183" t="s">
        <v>1195</v>
      </c>
    </row>
    <row r="1184" spans="1:1" x14ac:dyDescent="0.25">
      <c r="A1184" s="38" t="s">
        <v>1196</v>
      </c>
    </row>
    <row r="1185" spans="1:1" x14ac:dyDescent="0.25">
      <c r="A1185" t="s">
        <v>1197</v>
      </c>
    </row>
    <row r="1186" spans="1:1" x14ac:dyDescent="0.25">
      <c r="A1186" s="38" t="s">
        <v>1198</v>
      </c>
    </row>
    <row r="1187" spans="1:1" x14ac:dyDescent="0.25">
      <c r="A1187" t="s">
        <v>1199</v>
      </c>
    </row>
    <row r="1188" spans="1:1" x14ac:dyDescent="0.25">
      <c r="A1188" s="38" t="s">
        <v>1200</v>
      </c>
    </row>
    <row r="1189" spans="1:1" x14ac:dyDescent="0.25">
      <c r="A1189" t="s">
        <v>1201</v>
      </c>
    </row>
    <row r="1190" spans="1:1" x14ac:dyDescent="0.25">
      <c r="A1190" s="38" t="s">
        <v>1202</v>
      </c>
    </row>
    <row r="1191" spans="1:1" x14ac:dyDescent="0.25">
      <c r="A1191" t="s">
        <v>1203</v>
      </c>
    </row>
    <row r="1192" spans="1:1" x14ac:dyDescent="0.25">
      <c r="A1192" s="38" t="s">
        <v>1204</v>
      </c>
    </row>
    <row r="1193" spans="1:1" x14ac:dyDescent="0.25">
      <c r="A1193" t="s">
        <v>1205</v>
      </c>
    </row>
    <row r="1194" spans="1:1" x14ac:dyDescent="0.25">
      <c r="A1194" s="38" t="s">
        <v>1206</v>
      </c>
    </row>
    <row r="1195" spans="1:1" x14ac:dyDescent="0.25">
      <c r="A1195" t="s">
        <v>1207</v>
      </c>
    </row>
    <row r="1196" spans="1:1" x14ac:dyDescent="0.25">
      <c r="A1196" s="38" t="s">
        <v>1208</v>
      </c>
    </row>
    <row r="1197" spans="1:1" x14ac:dyDescent="0.25">
      <c r="A1197" t="s">
        <v>1209</v>
      </c>
    </row>
    <row r="1198" spans="1:1" x14ac:dyDescent="0.25">
      <c r="A1198" s="38" t="s">
        <v>1210</v>
      </c>
    </row>
    <row r="1199" spans="1:1" x14ac:dyDescent="0.25">
      <c r="A1199" t="s">
        <v>1211</v>
      </c>
    </row>
    <row r="1200" spans="1:1" x14ac:dyDescent="0.25">
      <c r="A1200" s="38" t="s">
        <v>1212</v>
      </c>
    </row>
    <row r="1201" spans="1:1" x14ac:dyDescent="0.25">
      <c r="A1201" t="s">
        <v>1213</v>
      </c>
    </row>
    <row r="1202" spans="1:1" x14ac:dyDescent="0.25">
      <c r="A1202" s="39" t="s">
        <v>1214</v>
      </c>
    </row>
    <row r="1203" spans="1:1" x14ac:dyDescent="0.25">
      <c r="A1203" t="s">
        <v>1215</v>
      </c>
    </row>
    <row r="1204" spans="1:1" x14ac:dyDescent="0.25">
      <c r="A1204" s="38" t="s">
        <v>1216</v>
      </c>
    </row>
    <row r="1205" spans="1:1" x14ac:dyDescent="0.25">
      <c r="A1205" t="s">
        <v>1217</v>
      </c>
    </row>
    <row r="1206" spans="1:1" x14ac:dyDescent="0.25">
      <c r="A1206" s="38" t="s">
        <v>1218</v>
      </c>
    </row>
    <row r="1207" spans="1:1" x14ac:dyDescent="0.25">
      <c r="A1207" t="s">
        <v>1219</v>
      </c>
    </row>
    <row r="1208" spans="1:1" x14ac:dyDescent="0.25">
      <c r="A1208" s="38" t="s">
        <v>1220</v>
      </c>
    </row>
    <row r="1209" spans="1:1" x14ac:dyDescent="0.25">
      <c r="A1209" t="s">
        <v>1221</v>
      </c>
    </row>
    <row r="1210" spans="1:1" x14ac:dyDescent="0.25">
      <c r="A1210" s="38" t="s">
        <v>1222</v>
      </c>
    </row>
    <row r="1211" spans="1:1" x14ac:dyDescent="0.25">
      <c r="A1211" t="s">
        <v>1223</v>
      </c>
    </row>
    <row r="1212" spans="1:1" x14ac:dyDescent="0.25">
      <c r="A1212" s="38" t="s">
        <v>1224</v>
      </c>
    </row>
    <row r="1213" spans="1:1" x14ac:dyDescent="0.25">
      <c r="A1213" t="s">
        <v>1225</v>
      </c>
    </row>
    <row r="1214" spans="1:1" x14ac:dyDescent="0.25">
      <c r="A1214" s="38" t="s">
        <v>1226</v>
      </c>
    </row>
    <row r="1215" spans="1:1" x14ac:dyDescent="0.25">
      <c r="A1215" t="s">
        <v>1227</v>
      </c>
    </row>
    <row r="1216" spans="1:1" x14ac:dyDescent="0.25">
      <c r="A1216" s="38" t="s">
        <v>1228</v>
      </c>
    </row>
    <row r="1217" spans="1:1" x14ac:dyDescent="0.25">
      <c r="A1217" t="s">
        <v>1229</v>
      </c>
    </row>
    <row r="1218" spans="1:1" x14ac:dyDescent="0.25">
      <c r="A1218" s="38" t="s">
        <v>1230</v>
      </c>
    </row>
    <row r="1219" spans="1:1" x14ac:dyDescent="0.25">
      <c r="A1219" t="s">
        <v>1231</v>
      </c>
    </row>
    <row r="1220" spans="1:1" x14ac:dyDescent="0.25">
      <c r="A1220" s="38" t="s">
        <v>1232</v>
      </c>
    </row>
    <row r="1221" spans="1:1" x14ac:dyDescent="0.25">
      <c r="A1221" t="s">
        <v>1233</v>
      </c>
    </row>
    <row r="1222" spans="1:1" x14ac:dyDescent="0.25">
      <c r="A1222" s="38" t="s">
        <v>1234</v>
      </c>
    </row>
    <row r="1223" spans="1:1" x14ac:dyDescent="0.25">
      <c r="A1223" t="s">
        <v>1235</v>
      </c>
    </row>
    <row r="1224" spans="1:1" x14ac:dyDescent="0.25">
      <c r="A1224" s="38" t="s">
        <v>1236</v>
      </c>
    </row>
    <row r="1225" spans="1:1" x14ac:dyDescent="0.25">
      <c r="A1225" t="s">
        <v>1237</v>
      </c>
    </row>
    <row r="1226" spans="1:1" x14ac:dyDescent="0.25">
      <c r="A1226" s="38" t="s">
        <v>1238</v>
      </c>
    </row>
    <row r="1227" spans="1:1" x14ac:dyDescent="0.25">
      <c r="A1227" t="s">
        <v>1239</v>
      </c>
    </row>
    <row r="1228" spans="1:1" x14ac:dyDescent="0.25">
      <c r="A1228" s="38" t="s">
        <v>1240</v>
      </c>
    </row>
    <row r="1229" spans="1:1" x14ac:dyDescent="0.25">
      <c r="A1229" t="s">
        <v>1241</v>
      </c>
    </row>
    <row r="1230" spans="1:1" x14ac:dyDescent="0.25">
      <c r="A1230" s="38" t="s">
        <v>1242</v>
      </c>
    </row>
    <row r="1231" spans="1:1" x14ac:dyDescent="0.25">
      <c r="A1231" t="s">
        <v>1243</v>
      </c>
    </row>
    <row r="1232" spans="1:1" x14ac:dyDescent="0.25">
      <c r="A1232" s="38" t="s">
        <v>1244</v>
      </c>
    </row>
    <row r="1233" spans="1:1" x14ac:dyDescent="0.25">
      <c r="A1233" t="s">
        <v>1245</v>
      </c>
    </row>
    <row r="1234" spans="1:1" x14ac:dyDescent="0.25">
      <c r="A1234" s="38" t="s">
        <v>1246</v>
      </c>
    </row>
    <row r="1235" spans="1:1" x14ac:dyDescent="0.25">
      <c r="A1235" t="s">
        <v>1247</v>
      </c>
    </row>
    <row r="1236" spans="1:1" x14ac:dyDescent="0.25">
      <c r="A1236" s="3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Generator">
                <anchor moveWithCells="1" sizeWithCells="1">
                  <from>
                    <xdr:col>10</xdr:col>
                    <xdr:colOff>85725</xdr:colOff>
                    <xdr:row>4</xdr:row>
                    <xdr:rowOff>38100</xdr:rowOff>
                  </from>
                  <to>
                    <xdr:col>11</xdr:col>
                    <xdr:colOff>1152525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Erase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1066800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6:B7"/>
  <sheetViews>
    <sheetView workbookViewId="0">
      <selection activeCell="B40" sqref="B40"/>
    </sheetView>
  </sheetViews>
  <sheetFormatPr defaultRowHeight="15" x14ac:dyDescent="0.25"/>
  <sheetData>
    <row r="6" spans="2:2" x14ac:dyDescent="0.25">
      <c r="B6">
        <v>45412552</v>
      </c>
    </row>
    <row r="7" spans="2:2" x14ac:dyDescent="0.25">
      <c r="B7">
        <v>4825025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92"/>
  <sheetViews>
    <sheetView tabSelected="1" workbookViewId="0">
      <selection activeCell="Q11" sqref="Q11"/>
    </sheetView>
  </sheetViews>
  <sheetFormatPr defaultRowHeight="15" x14ac:dyDescent="0.25"/>
  <cols>
    <col min="1" max="1" width="23.28515625" bestFit="1" customWidth="1"/>
    <col min="2" max="2" width="16" bestFit="1" customWidth="1"/>
    <col min="3" max="3" width="25" bestFit="1" customWidth="1"/>
    <col min="4" max="4" width="12.85546875" bestFit="1" customWidth="1"/>
    <col min="5" max="5" width="15.42578125" bestFit="1" customWidth="1"/>
    <col min="6" max="6" width="30.85546875" bestFit="1" customWidth="1"/>
    <col min="7" max="7" width="11.5703125" bestFit="1" customWidth="1"/>
    <col min="9" max="9" width="16.140625" bestFit="1" customWidth="1"/>
    <col min="10" max="10" width="5.5703125" bestFit="1" customWidth="1"/>
    <col min="11" max="11" width="12.7109375" bestFit="1" customWidth="1"/>
    <col min="12" max="12" width="18.7109375" bestFit="1" customWidth="1"/>
    <col min="13" max="13" width="5.5703125" bestFit="1" customWidth="1"/>
    <col min="14" max="14" width="18.7109375" bestFit="1" customWidth="1"/>
    <col min="15" max="15" width="5" bestFit="1" customWidth="1"/>
    <col min="16" max="16" width="2" bestFit="1" customWidth="1"/>
  </cols>
  <sheetData>
    <row r="1" spans="1:16" ht="23.25" x14ac:dyDescent="0.35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5</v>
      </c>
      <c r="G1" s="7" t="s">
        <v>6</v>
      </c>
      <c r="H1" s="8"/>
      <c r="I1" s="9" t="s">
        <v>7</v>
      </c>
      <c r="J1" s="9"/>
      <c r="K1" s="10" t="s">
        <v>8</v>
      </c>
      <c r="L1" s="10" t="s">
        <v>9</v>
      </c>
      <c r="M1" s="11"/>
      <c r="N1" s="10" t="s">
        <v>10</v>
      </c>
      <c r="O1" s="8"/>
      <c r="P1" s="12"/>
    </row>
    <row r="2" spans="1:16" ht="27" thickBot="1" x14ac:dyDescent="0.45">
      <c r="A2" s="13"/>
      <c r="B2" s="14">
        <v>6</v>
      </c>
      <c r="C2" s="15">
        <v>0.91</v>
      </c>
      <c r="D2" s="16">
        <v>0.98</v>
      </c>
      <c r="E2" s="17">
        <v>0.03</v>
      </c>
      <c r="F2" s="18">
        <v>0.12</v>
      </c>
      <c r="G2" s="19">
        <v>0.3</v>
      </c>
      <c r="H2" s="8"/>
      <c r="I2" s="9">
        <f>(B2*3.1415*C2)-K2</f>
        <v>15.094279199999999</v>
      </c>
      <c r="J2" s="9"/>
      <c r="K2" s="9">
        <f>(B2*3.1415*C2)*F2</f>
        <v>2.0583108000000001</v>
      </c>
      <c r="L2" s="10">
        <f>I2*D2</f>
        <v>14.792393615999998</v>
      </c>
      <c r="M2" s="11"/>
      <c r="N2" s="10">
        <f>K2*G2</f>
        <v>0.61749324000000005</v>
      </c>
      <c r="O2" s="8"/>
      <c r="P2" s="12"/>
    </row>
    <row r="3" spans="1:16" ht="24" thickBot="1" x14ac:dyDescent="0.4">
      <c r="A3" s="13"/>
      <c r="B3" s="13"/>
      <c r="C3" s="13" t="str">
        <f>"X " &amp;I2&amp;" Y "&amp;L2</f>
        <v>X 15.0942792 Y 14.792393616</v>
      </c>
      <c r="D3" s="11"/>
      <c r="E3" s="11"/>
      <c r="F3" s="20" t="str">
        <f>"X " &amp;K2&amp;" Y "&amp;N2</f>
        <v>X 2.0583108 Y 0.61749324</v>
      </c>
      <c r="G3" s="8"/>
      <c r="H3" s="8"/>
      <c r="I3" s="21"/>
      <c r="J3" s="21"/>
      <c r="K3" s="22"/>
      <c r="L3" s="22"/>
      <c r="M3" s="21"/>
      <c r="N3" s="22"/>
      <c r="O3" s="23"/>
      <c r="P3" s="23"/>
    </row>
    <row r="4" spans="1:16" ht="24" thickBot="1" x14ac:dyDescent="0.4">
      <c r="A4" s="8"/>
      <c r="B4" s="24" t="s">
        <v>11</v>
      </c>
      <c r="C4" s="25">
        <v>600</v>
      </c>
      <c r="D4" s="11"/>
      <c r="E4" s="26" t="s">
        <v>12</v>
      </c>
      <c r="F4" s="27">
        <v>1</v>
      </c>
      <c r="G4" s="8"/>
      <c r="H4" s="8"/>
      <c r="I4" s="21"/>
      <c r="J4" s="21"/>
      <c r="K4" s="22"/>
      <c r="L4" s="22"/>
      <c r="M4" s="21"/>
      <c r="N4" s="22"/>
      <c r="O4" s="23"/>
      <c r="P4" s="23"/>
    </row>
    <row r="5" spans="1:16" ht="24" thickBot="1" x14ac:dyDescent="0.4">
      <c r="A5" s="8"/>
      <c r="B5" s="24" t="s">
        <v>13</v>
      </c>
      <c r="C5" s="25">
        <v>1200</v>
      </c>
      <c r="D5" s="11"/>
      <c r="E5" s="26" t="s">
        <v>14</v>
      </c>
      <c r="F5" s="28">
        <v>5</v>
      </c>
      <c r="G5" s="8"/>
      <c r="H5" s="8"/>
      <c r="I5" s="21"/>
      <c r="J5" s="21"/>
      <c r="K5" s="22"/>
      <c r="L5" s="22"/>
      <c r="M5" s="21"/>
      <c r="N5" s="22"/>
      <c r="O5" s="23"/>
      <c r="P5" s="23"/>
    </row>
    <row r="6" spans="1:16" ht="24" thickBot="1" x14ac:dyDescent="0.4">
      <c r="A6" s="29" t="s">
        <v>15</v>
      </c>
      <c r="B6" s="30"/>
      <c r="C6" s="31"/>
      <c r="D6" s="11"/>
      <c r="E6" s="32" t="s">
        <v>16</v>
      </c>
      <c r="F6" s="33">
        <v>8</v>
      </c>
      <c r="G6" s="8"/>
      <c r="H6" s="8"/>
      <c r="I6" s="21"/>
      <c r="J6" s="21"/>
      <c r="K6" s="22"/>
      <c r="L6" s="22"/>
      <c r="M6" s="21"/>
      <c r="N6" s="22"/>
      <c r="O6" s="23"/>
      <c r="P6" s="23"/>
    </row>
    <row r="7" spans="1:16" ht="24" thickBot="1" x14ac:dyDescent="0.4">
      <c r="A7" s="29" t="s">
        <v>17</v>
      </c>
      <c r="B7" s="30"/>
      <c r="C7" s="31"/>
      <c r="D7" s="11"/>
      <c r="E7" s="26" t="s">
        <v>18</v>
      </c>
      <c r="F7" s="34">
        <f>B162</f>
        <v>0</v>
      </c>
      <c r="G7" s="8"/>
      <c r="H7" s="8"/>
      <c r="I7" s="21"/>
      <c r="J7" s="21"/>
      <c r="K7" s="22"/>
      <c r="L7" s="22"/>
      <c r="M7" s="21"/>
      <c r="N7" s="22"/>
      <c r="O7" s="23"/>
      <c r="P7" s="23"/>
    </row>
    <row r="8" spans="1:16" ht="23.25" x14ac:dyDescent="0.35">
      <c r="A8" s="29" t="s">
        <v>19</v>
      </c>
      <c r="B8" s="30"/>
      <c r="C8" s="31"/>
      <c r="D8" s="11"/>
      <c r="E8" s="35"/>
      <c r="F8" s="36"/>
      <c r="G8" s="8"/>
      <c r="H8" s="8"/>
      <c r="I8" s="21"/>
      <c r="J8" s="21"/>
      <c r="K8" s="22"/>
      <c r="L8" s="22"/>
      <c r="M8" s="21"/>
      <c r="N8" s="22"/>
      <c r="O8" s="23"/>
      <c r="P8" s="23"/>
    </row>
    <row r="9" spans="1:16" ht="23.25" x14ac:dyDescent="0.35">
      <c r="A9" s="29" t="str">
        <f>"G1X0.0Y0.0F"&amp;C4</f>
        <v>G1X0.0Y0.0F600</v>
      </c>
      <c r="B9" s="13" t="s">
        <v>20</v>
      </c>
      <c r="C9" s="37"/>
      <c r="D9" s="11" t="s">
        <v>21</v>
      </c>
      <c r="E9" s="11" t="s">
        <v>22</v>
      </c>
      <c r="F9" s="8"/>
      <c r="G9" s="8"/>
      <c r="H9" s="8"/>
      <c r="I9" s="21"/>
      <c r="J9" s="21"/>
      <c r="K9" s="22"/>
      <c r="L9" s="22"/>
      <c r="M9" s="21"/>
      <c r="N9" s="22"/>
      <c r="O9" s="23"/>
      <c r="P9" s="23"/>
    </row>
    <row r="10" spans="1:16" x14ac:dyDescent="0.25">
      <c r="A10" t="s">
        <v>1249</v>
      </c>
      <c r="B10">
        <v>1.25</v>
      </c>
      <c r="C10" t="s">
        <v>23</v>
      </c>
      <c r="D10">
        <v>15.124279693664146</v>
      </c>
      <c r="E10">
        <v>14.82239438767799</v>
      </c>
      <c r="F10">
        <v>10</v>
      </c>
      <c r="G10">
        <v>1</v>
      </c>
      <c r="H10">
        <v>1</v>
      </c>
    </row>
    <row r="11" spans="1:16" x14ac:dyDescent="0.25">
      <c r="A11" s="38" t="s">
        <v>1250</v>
      </c>
      <c r="B11" s="38">
        <v>1.36</v>
      </c>
      <c r="C11" s="38" t="s">
        <v>89</v>
      </c>
      <c r="D11" s="38">
        <v>17.182590493664147</v>
      </c>
      <c r="E11" s="38">
        <v>15.439887652214967</v>
      </c>
      <c r="F11" s="38">
        <v>11</v>
      </c>
      <c r="G11" s="38">
        <v>1</v>
      </c>
      <c r="H11" s="38">
        <v>1</v>
      </c>
      <c r="I11" s="38"/>
      <c r="J11" s="38"/>
      <c r="K11" s="38"/>
      <c r="L11" s="38"/>
      <c r="M11" s="38"/>
    </row>
    <row r="12" spans="1:16" x14ac:dyDescent="0.25">
      <c r="A12" t="s">
        <v>1251</v>
      </c>
      <c r="B12">
        <v>2.62</v>
      </c>
      <c r="C12" t="s">
        <v>90</v>
      </c>
      <c r="D12">
        <v>32.366870185987189</v>
      </c>
      <c r="E12">
        <v>30.624167344538009</v>
      </c>
      <c r="F12">
        <v>12</v>
      </c>
      <c r="G12">
        <v>2</v>
      </c>
      <c r="H12">
        <v>2</v>
      </c>
    </row>
    <row r="13" spans="1:16" x14ac:dyDescent="0.25">
      <c r="A13" s="38" t="s">
        <v>1252</v>
      </c>
      <c r="B13" s="38">
        <v>2.74</v>
      </c>
      <c r="C13" s="38" t="s">
        <v>91</v>
      </c>
      <c r="D13" s="38">
        <v>34.42518098598719</v>
      </c>
      <c r="E13" s="38">
        <v>31.241660609074984</v>
      </c>
      <c r="F13" s="38">
        <v>13</v>
      </c>
      <c r="G13" s="38">
        <v>2</v>
      </c>
      <c r="H13" s="38">
        <v>2</v>
      </c>
      <c r="I13" s="38"/>
      <c r="J13" s="38"/>
      <c r="K13" s="38"/>
      <c r="L13" s="38"/>
      <c r="M13" s="38"/>
    </row>
    <row r="14" spans="1:16" x14ac:dyDescent="0.25">
      <c r="A14" t="s">
        <v>1253</v>
      </c>
      <c r="B14">
        <v>4</v>
      </c>
      <c r="C14" t="s">
        <v>92</v>
      </c>
      <c r="D14">
        <v>49.609460678310228</v>
      </c>
      <c r="E14">
        <v>46.425940301398029</v>
      </c>
      <c r="F14">
        <v>14</v>
      </c>
      <c r="G14">
        <v>3</v>
      </c>
      <c r="H14">
        <v>3</v>
      </c>
    </row>
    <row r="15" spans="1:16" x14ac:dyDescent="0.25">
      <c r="A15" s="38" t="s">
        <v>1254</v>
      </c>
      <c r="B15" s="38">
        <v>4.1100000000000003</v>
      </c>
      <c r="C15" s="38" t="s">
        <v>93</v>
      </c>
      <c r="D15" s="38">
        <v>51.667771478310229</v>
      </c>
      <c r="E15" s="38">
        <v>47.043433565935004</v>
      </c>
      <c r="F15" s="38">
        <v>15</v>
      </c>
      <c r="G15" s="38">
        <v>3</v>
      </c>
      <c r="H15" s="38">
        <v>3</v>
      </c>
      <c r="I15" s="38"/>
      <c r="J15" s="38"/>
      <c r="K15" s="38"/>
      <c r="L15" s="38"/>
      <c r="M15" s="38"/>
    </row>
    <row r="16" spans="1:16" x14ac:dyDescent="0.25">
      <c r="A16" t="s">
        <v>1255</v>
      </c>
      <c r="B16">
        <v>5.38</v>
      </c>
      <c r="C16" t="s">
        <v>94</v>
      </c>
      <c r="D16">
        <v>66.852051170633274</v>
      </c>
      <c r="E16">
        <v>62.227713258258049</v>
      </c>
      <c r="F16">
        <v>16</v>
      </c>
      <c r="G16">
        <v>4</v>
      </c>
      <c r="H16">
        <v>4</v>
      </c>
    </row>
    <row r="17" spans="1:13" x14ac:dyDescent="0.25">
      <c r="A17" s="38" t="s">
        <v>1256</v>
      </c>
      <c r="B17" s="38">
        <v>5.49</v>
      </c>
      <c r="C17" s="38" t="s">
        <v>95</v>
      </c>
      <c r="D17" s="38">
        <v>68.910361970633275</v>
      </c>
      <c r="E17" s="38">
        <v>62.845206522795024</v>
      </c>
      <c r="F17" s="38">
        <v>17</v>
      </c>
      <c r="G17" s="38">
        <v>4</v>
      </c>
      <c r="H17" s="38">
        <v>4</v>
      </c>
      <c r="I17" s="38"/>
      <c r="J17" s="38"/>
      <c r="K17" s="38"/>
      <c r="L17" s="38"/>
      <c r="M17" s="38"/>
    </row>
    <row r="18" spans="1:13" x14ac:dyDescent="0.25">
      <c r="A18" t="s">
        <v>1257</v>
      </c>
      <c r="B18">
        <v>6.76</v>
      </c>
      <c r="C18" t="s">
        <v>96</v>
      </c>
      <c r="D18">
        <v>84.09464166295632</v>
      </c>
      <c r="E18">
        <v>78.029486215118069</v>
      </c>
      <c r="F18">
        <v>18</v>
      </c>
      <c r="G18">
        <v>5</v>
      </c>
      <c r="H18">
        <v>5</v>
      </c>
    </row>
    <row r="19" spans="1:13" x14ac:dyDescent="0.25">
      <c r="A19" s="39" t="s">
        <v>1258</v>
      </c>
      <c r="B19" s="39">
        <v>7.37</v>
      </c>
      <c r="C19" s="39" t="s">
        <v>97</v>
      </c>
      <c r="D19" s="39">
        <v>92.152952462956321</v>
      </c>
      <c r="E19" s="39">
        <v>84.646979479655045</v>
      </c>
      <c r="F19" s="39">
        <v>19</v>
      </c>
      <c r="G19" s="39">
        <v>5</v>
      </c>
      <c r="H19" s="39">
        <v>5</v>
      </c>
      <c r="I19" s="39"/>
      <c r="J19" s="39"/>
      <c r="K19" s="39"/>
      <c r="L19" s="39"/>
      <c r="M19" s="39"/>
    </row>
    <row r="20" spans="1:13" x14ac:dyDescent="0.25">
      <c r="A20" t="s">
        <v>1259</v>
      </c>
      <c r="B20">
        <v>8.6300000000000008</v>
      </c>
      <c r="C20" t="s">
        <v>98</v>
      </c>
      <c r="D20">
        <v>107.33723215527937</v>
      </c>
      <c r="E20">
        <v>99.83125917197809</v>
      </c>
      <c r="F20">
        <v>20</v>
      </c>
      <c r="G20">
        <v>1</v>
      </c>
      <c r="H20">
        <v>6</v>
      </c>
    </row>
    <row r="21" spans="1:13" x14ac:dyDescent="0.25">
      <c r="A21" s="38" t="s">
        <v>1260</v>
      </c>
      <c r="B21" s="38">
        <v>8.74</v>
      </c>
      <c r="C21" s="38" t="s">
        <v>99</v>
      </c>
      <c r="D21" s="38">
        <v>109.39554295527937</v>
      </c>
      <c r="E21" s="38">
        <v>100.44875243651506</v>
      </c>
      <c r="F21" s="38">
        <v>21</v>
      </c>
      <c r="G21" s="38">
        <v>1</v>
      </c>
      <c r="H21" s="38">
        <v>6</v>
      </c>
      <c r="I21" s="38"/>
      <c r="J21" s="38"/>
      <c r="K21" s="38"/>
      <c r="L21" s="38"/>
      <c r="M21" s="38"/>
    </row>
    <row r="22" spans="1:13" x14ac:dyDescent="0.25">
      <c r="A22" t="s">
        <v>1261</v>
      </c>
      <c r="B22">
        <v>10.01</v>
      </c>
      <c r="C22" t="s">
        <v>100</v>
      </c>
      <c r="D22">
        <v>124.57982264760241</v>
      </c>
      <c r="E22">
        <v>115.63303212883811</v>
      </c>
      <c r="F22">
        <v>22</v>
      </c>
      <c r="G22">
        <v>2</v>
      </c>
      <c r="H22">
        <v>7</v>
      </c>
    </row>
    <row r="23" spans="1:13" x14ac:dyDescent="0.25">
      <c r="A23" s="38" t="s">
        <v>1262</v>
      </c>
      <c r="B23" s="38">
        <v>10.119999999999999</v>
      </c>
      <c r="C23" s="38" t="s">
        <v>101</v>
      </c>
      <c r="D23" s="38">
        <v>126.63813344760241</v>
      </c>
      <c r="E23" s="38">
        <v>116.25052539337509</v>
      </c>
      <c r="F23" s="38">
        <v>23</v>
      </c>
      <c r="G23" s="38">
        <v>2</v>
      </c>
      <c r="H23" s="38">
        <v>7</v>
      </c>
      <c r="I23" s="38"/>
      <c r="J23" s="38"/>
      <c r="K23" s="38"/>
      <c r="L23" s="38"/>
      <c r="M23" s="38"/>
    </row>
    <row r="24" spans="1:13" x14ac:dyDescent="0.25">
      <c r="A24" t="s">
        <v>1263</v>
      </c>
      <c r="B24">
        <v>11.39</v>
      </c>
      <c r="C24" t="s">
        <v>102</v>
      </c>
      <c r="D24">
        <v>141.82241313992546</v>
      </c>
      <c r="E24">
        <v>131.43480508569812</v>
      </c>
      <c r="F24">
        <v>24</v>
      </c>
      <c r="G24">
        <v>3</v>
      </c>
      <c r="H24">
        <v>8</v>
      </c>
    </row>
    <row r="25" spans="1:13" x14ac:dyDescent="0.25">
      <c r="A25" s="38" t="s">
        <v>1264</v>
      </c>
      <c r="B25" s="38">
        <v>11.5</v>
      </c>
      <c r="C25" s="38" t="s">
        <v>103</v>
      </c>
      <c r="D25" s="38">
        <v>143.88072393992545</v>
      </c>
      <c r="E25" s="38">
        <v>132.05229835023511</v>
      </c>
      <c r="F25" s="38">
        <v>25</v>
      </c>
      <c r="G25" s="38">
        <v>3</v>
      </c>
      <c r="H25" s="38">
        <v>8</v>
      </c>
      <c r="I25" s="38"/>
      <c r="J25" s="38"/>
      <c r="K25" s="38"/>
      <c r="L25" s="38"/>
      <c r="M25" s="38"/>
    </row>
    <row r="26" spans="1:13" x14ac:dyDescent="0.25">
      <c r="A26" t="s">
        <v>1265</v>
      </c>
      <c r="B26">
        <v>12.76</v>
      </c>
      <c r="C26" t="s">
        <v>104</v>
      </c>
      <c r="D26">
        <v>159.06500363224848</v>
      </c>
      <c r="E26">
        <v>147.23657804255814</v>
      </c>
      <c r="F26">
        <v>26</v>
      </c>
      <c r="G26">
        <v>4</v>
      </c>
      <c r="H26">
        <v>9</v>
      </c>
    </row>
    <row r="27" spans="1:13" x14ac:dyDescent="0.25">
      <c r="A27" s="38" t="s">
        <v>1266</v>
      </c>
      <c r="B27" s="38">
        <v>12.87</v>
      </c>
      <c r="C27" s="38" t="s">
        <v>105</v>
      </c>
      <c r="D27" s="38">
        <v>161.12331443224846</v>
      </c>
      <c r="E27" s="38">
        <v>147.85407130709513</v>
      </c>
      <c r="F27" s="38">
        <v>27</v>
      </c>
      <c r="G27" s="38">
        <v>4</v>
      </c>
      <c r="H27" s="38">
        <v>9</v>
      </c>
      <c r="I27" s="38"/>
      <c r="J27" s="38"/>
      <c r="K27" s="38"/>
      <c r="L27" s="38"/>
      <c r="M27" s="38"/>
    </row>
    <row r="28" spans="1:13" x14ac:dyDescent="0.25">
      <c r="A28" t="s">
        <v>1267</v>
      </c>
      <c r="B28">
        <v>14.14</v>
      </c>
      <c r="C28" t="s">
        <v>106</v>
      </c>
      <c r="D28">
        <v>176.30759412457149</v>
      </c>
      <c r="E28">
        <v>163.03835099941816</v>
      </c>
      <c r="F28">
        <v>28</v>
      </c>
      <c r="G28">
        <v>5</v>
      </c>
      <c r="H28">
        <v>10</v>
      </c>
    </row>
    <row r="29" spans="1:13" x14ac:dyDescent="0.25">
      <c r="A29" s="39" t="s">
        <v>1268</v>
      </c>
      <c r="B29" s="39">
        <v>14.75</v>
      </c>
      <c r="C29" s="39" t="s">
        <v>107</v>
      </c>
      <c r="D29" s="39">
        <v>184.36590492457148</v>
      </c>
      <c r="E29" s="39">
        <v>169.65584426395515</v>
      </c>
      <c r="F29" s="39">
        <v>29</v>
      </c>
      <c r="G29" s="39">
        <v>5</v>
      </c>
      <c r="H29" s="39">
        <v>10</v>
      </c>
      <c r="I29" s="39"/>
      <c r="J29" s="39"/>
      <c r="K29" s="39"/>
      <c r="L29" s="39"/>
      <c r="M29" s="39"/>
    </row>
    <row r="30" spans="1:13" x14ac:dyDescent="0.25">
      <c r="A30" t="s">
        <v>1269</v>
      </c>
      <c r="B30">
        <v>16.02</v>
      </c>
      <c r="C30" t="s">
        <v>108</v>
      </c>
      <c r="D30">
        <v>199.55018461689451</v>
      </c>
      <c r="E30">
        <v>184.84012395627818</v>
      </c>
      <c r="F30">
        <v>30</v>
      </c>
      <c r="G30">
        <v>1</v>
      </c>
      <c r="H30">
        <v>11</v>
      </c>
    </row>
    <row r="31" spans="1:13" x14ac:dyDescent="0.25">
      <c r="A31" s="38" t="s">
        <v>1270</v>
      </c>
      <c r="B31" s="38">
        <v>16.13</v>
      </c>
      <c r="C31" s="38" t="s">
        <v>109</v>
      </c>
      <c r="D31" s="38">
        <v>201.6084954168945</v>
      </c>
      <c r="E31" s="38">
        <v>185.45761722081517</v>
      </c>
      <c r="F31" s="38">
        <v>31</v>
      </c>
      <c r="G31" s="38">
        <v>1</v>
      </c>
      <c r="H31" s="38">
        <v>11</v>
      </c>
      <c r="I31" s="38"/>
      <c r="J31" s="38"/>
      <c r="K31" s="38"/>
      <c r="L31" s="38"/>
      <c r="M31" s="38"/>
    </row>
    <row r="32" spans="1:13" x14ac:dyDescent="0.25">
      <c r="A32" t="s">
        <v>1271</v>
      </c>
      <c r="B32">
        <v>17.39</v>
      </c>
      <c r="C32" t="s">
        <v>110</v>
      </c>
      <c r="D32">
        <v>216.79277510921753</v>
      </c>
      <c r="E32">
        <v>200.6418969131382</v>
      </c>
      <c r="F32">
        <v>32</v>
      </c>
      <c r="G32">
        <v>2</v>
      </c>
      <c r="H32">
        <v>12</v>
      </c>
    </row>
    <row r="33" spans="1:13" x14ac:dyDescent="0.25">
      <c r="A33" s="38" t="s">
        <v>1272</v>
      </c>
      <c r="B33" s="38">
        <v>17.5</v>
      </c>
      <c r="C33" s="38" t="s">
        <v>111</v>
      </c>
      <c r="D33" s="38">
        <v>218.85108590921752</v>
      </c>
      <c r="E33" s="38">
        <v>201.25939017767519</v>
      </c>
      <c r="F33" s="38">
        <v>33</v>
      </c>
      <c r="G33" s="38">
        <v>2</v>
      </c>
      <c r="H33" s="38">
        <v>12</v>
      </c>
      <c r="I33" s="38"/>
      <c r="J33" s="38"/>
      <c r="K33" s="38"/>
      <c r="L33" s="38"/>
      <c r="M33" s="38"/>
    </row>
    <row r="34" spans="1:13" x14ac:dyDescent="0.25">
      <c r="A34" t="s">
        <v>1273</v>
      </c>
      <c r="B34">
        <v>18.77</v>
      </c>
      <c r="C34" t="s">
        <v>24</v>
      </c>
      <c r="D34">
        <v>234.03536560154055</v>
      </c>
      <c r="E34">
        <v>216.44366986999822</v>
      </c>
      <c r="F34">
        <v>34</v>
      </c>
      <c r="G34">
        <v>3</v>
      </c>
      <c r="H34">
        <v>13</v>
      </c>
    </row>
    <row r="35" spans="1:13" x14ac:dyDescent="0.25">
      <c r="A35" s="38" t="s">
        <v>1274</v>
      </c>
      <c r="B35" s="38">
        <v>18.88</v>
      </c>
      <c r="C35" s="38" t="s">
        <v>112</v>
      </c>
      <c r="D35" s="38">
        <v>236.09367640154053</v>
      </c>
      <c r="E35" s="38">
        <v>217.06116313453521</v>
      </c>
      <c r="F35" s="38">
        <v>35</v>
      </c>
      <c r="G35" s="38">
        <v>3</v>
      </c>
      <c r="H35" s="38">
        <v>13</v>
      </c>
      <c r="I35" s="38"/>
      <c r="J35" s="38"/>
      <c r="K35" s="38"/>
      <c r="L35" s="38"/>
      <c r="M35" s="38"/>
    </row>
    <row r="36" spans="1:13" x14ac:dyDescent="0.25">
      <c r="A36" t="s">
        <v>1275</v>
      </c>
      <c r="B36">
        <v>20.149999999999999</v>
      </c>
      <c r="C36" t="s">
        <v>25</v>
      </c>
      <c r="D36">
        <v>251.27795609386357</v>
      </c>
      <c r="E36">
        <v>232.24544282685824</v>
      </c>
      <c r="F36">
        <v>36</v>
      </c>
      <c r="G36">
        <v>4</v>
      </c>
      <c r="H36">
        <v>14</v>
      </c>
    </row>
    <row r="37" spans="1:13" x14ac:dyDescent="0.25">
      <c r="A37" s="38" t="s">
        <v>1276</v>
      </c>
      <c r="B37" s="38">
        <v>20.260000000000002</v>
      </c>
      <c r="C37" s="38" t="s">
        <v>113</v>
      </c>
      <c r="D37" s="38">
        <v>253.33626689386355</v>
      </c>
      <c r="E37" s="38">
        <v>232.86293609139523</v>
      </c>
      <c r="F37" s="38">
        <v>37</v>
      </c>
      <c r="G37" s="38">
        <v>4</v>
      </c>
      <c r="H37" s="38">
        <v>14</v>
      </c>
      <c r="I37" s="38"/>
      <c r="J37" s="38"/>
      <c r="K37" s="38"/>
      <c r="L37" s="38"/>
      <c r="M37" s="38"/>
    </row>
    <row r="38" spans="1:13" x14ac:dyDescent="0.25">
      <c r="A38" t="s">
        <v>1277</v>
      </c>
      <c r="B38">
        <v>21.52</v>
      </c>
      <c r="C38" t="s">
        <v>26</v>
      </c>
      <c r="D38">
        <v>268.52054658618658</v>
      </c>
      <c r="E38">
        <v>248.04721578371826</v>
      </c>
      <c r="F38">
        <v>38</v>
      </c>
      <c r="G38">
        <v>5</v>
      </c>
      <c r="H38">
        <v>15</v>
      </c>
    </row>
    <row r="39" spans="1:13" x14ac:dyDescent="0.25">
      <c r="A39" s="39" t="s">
        <v>1278</v>
      </c>
      <c r="B39" s="39">
        <v>22.14</v>
      </c>
      <c r="C39" s="39" t="s">
        <v>114</v>
      </c>
      <c r="D39" s="39">
        <v>276.5788573861866</v>
      </c>
      <c r="E39" s="39">
        <v>254.66470904825525</v>
      </c>
      <c r="F39" s="39">
        <v>39</v>
      </c>
      <c r="G39" s="39">
        <v>5</v>
      </c>
      <c r="H39" s="39">
        <v>15</v>
      </c>
      <c r="I39" s="39"/>
      <c r="J39" s="39"/>
      <c r="K39" s="39"/>
      <c r="L39" s="39"/>
      <c r="M39" s="39"/>
    </row>
    <row r="40" spans="1:13" x14ac:dyDescent="0.25">
      <c r="A40" t="s">
        <v>1279</v>
      </c>
      <c r="B40">
        <v>23.4</v>
      </c>
      <c r="C40" t="s">
        <v>27</v>
      </c>
      <c r="D40">
        <v>291.76313707850966</v>
      </c>
      <c r="E40">
        <v>269.84898874057831</v>
      </c>
      <c r="F40">
        <v>40</v>
      </c>
      <c r="G40">
        <v>1</v>
      </c>
      <c r="H40">
        <v>16</v>
      </c>
    </row>
    <row r="41" spans="1:13" x14ac:dyDescent="0.25">
      <c r="A41" s="38" t="s">
        <v>1280</v>
      </c>
      <c r="B41" s="38">
        <v>23.51</v>
      </c>
      <c r="C41" s="38" t="s">
        <v>115</v>
      </c>
      <c r="D41" s="38">
        <v>293.82144787850967</v>
      </c>
      <c r="E41" s="38">
        <v>270.46648200511527</v>
      </c>
      <c r="F41" s="38">
        <v>41</v>
      </c>
      <c r="G41" s="38">
        <v>1</v>
      </c>
      <c r="H41" s="38">
        <v>16</v>
      </c>
      <c r="I41" s="38"/>
      <c r="J41" s="38"/>
      <c r="K41" s="38"/>
      <c r="L41" s="38"/>
      <c r="M41" s="38"/>
    </row>
    <row r="42" spans="1:13" x14ac:dyDescent="0.25">
      <c r="A42" t="s">
        <v>1281</v>
      </c>
      <c r="B42">
        <v>24.78</v>
      </c>
      <c r="C42" t="s">
        <v>28</v>
      </c>
      <c r="D42">
        <v>309.00572757083273</v>
      </c>
      <c r="E42">
        <v>285.65076169743833</v>
      </c>
      <c r="F42">
        <v>42</v>
      </c>
      <c r="G42">
        <v>2</v>
      </c>
      <c r="H42">
        <v>17</v>
      </c>
    </row>
    <row r="43" spans="1:13" x14ac:dyDescent="0.25">
      <c r="A43" s="38" t="s">
        <v>1282</v>
      </c>
      <c r="B43" s="38">
        <v>24.89</v>
      </c>
      <c r="C43" s="38" t="s">
        <v>116</v>
      </c>
      <c r="D43" s="38">
        <v>311.06403837083275</v>
      </c>
      <c r="E43" s="38">
        <v>286.26825496197529</v>
      </c>
      <c r="F43" s="38">
        <v>43</v>
      </c>
      <c r="G43" s="38">
        <v>2</v>
      </c>
      <c r="H43" s="38">
        <v>17</v>
      </c>
      <c r="I43" s="38"/>
      <c r="J43" s="38"/>
      <c r="K43" s="38"/>
      <c r="L43" s="38"/>
      <c r="M43" s="38"/>
    </row>
    <row r="44" spans="1:13" x14ac:dyDescent="0.25">
      <c r="A44" t="s">
        <v>1283</v>
      </c>
      <c r="B44">
        <v>26.15</v>
      </c>
      <c r="C44" t="s">
        <v>29</v>
      </c>
      <c r="D44">
        <v>326.24831806315581</v>
      </c>
      <c r="E44">
        <v>301.45253465429835</v>
      </c>
      <c r="F44">
        <v>44</v>
      </c>
      <c r="G44">
        <v>3</v>
      </c>
      <c r="H44">
        <v>18</v>
      </c>
    </row>
    <row r="45" spans="1:13" x14ac:dyDescent="0.25">
      <c r="A45" s="38" t="s">
        <v>1284</v>
      </c>
      <c r="B45" s="38">
        <v>26.27</v>
      </c>
      <c r="C45" s="38" t="s">
        <v>117</v>
      </c>
      <c r="D45" s="38">
        <v>328.30662886315582</v>
      </c>
      <c r="E45" s="38">
        <v>302.07002791883531</v>
      </c>
      <c r="F45" s="38">
        <v>45</v>
      </c>
      <c r="G45" s="38">
        <v>3</v>
      </c>
      <c r="H45" s="38">
        <v>18</v>
      </c>
      <c r="I45" s="38"/>
      <c r="J45" s="38"/>
      <c r="K45" s="38"/>
      <c r="L45" s="38"/>
      <c r="M45" s="38"/>
    </row>
    <row r="46" spans="1:13" x14ac:dyDescent="0.25">
      <c r="A46" t="s">
        <v>1285</v>
      </c>
      <c r="B46">
        <v>27.53</v>
      </c>
      <c r="C46" t="s">
        <v>30</v>
      </c>
      <c r="D46">
        <v>343.49090855547888</v>
      </c>
      <c r="E46">
        <v>317.25430761115837</v>
      </c>
      <c r="F46">
        <v>46</v>
      </c>
      <c r="G46">
        <v>4</v>
      </c>
      <c r="H46">
        <v>19</v>
      </c>
    </row>
    <row r="47" spans="1:13" x14ac:dyDescent="0.25">
      <c r="A47" s="38" t="s">
        <v>1286</v>
      </c>
      <c r="B47" s="38">
        <v>27.64</v>
      </c>
      <c r="C47" s="38" t="s">
        <v>118</v>
      </c>
      <c r="D47" s="38">
        <v>345.5492193554789</v>
      </c>
      <c r="E47" s="38">
        <v>317.87180087569533</v>
      </c>
      <c r="F47" s="38">
        <v>47</v>
      </c>
      <c r="G47" s="38">
        <v>4</v>
      </c>
      <c r="H47" s="38">
        <v>19</v>
      </c>
      <c r="I47" s="38"/>
      <c r="J47" s="38"/>
      <c r="K47" s="38"/>
      <c r="L47" s="38"/>
      <c r="M47" s="38"/>
    </row>
    <row r="48" spans="1:13" x14ac:dyDescent="0.25">
      <c r="A48" t="s">
        <v>1287</v>
      </c>
      <c r="B48">
        <v>28.91</v>
      </c>
      <c r="C48" t="s">
        <v>31</v>
      </c>
      <c r="D48">
        <v>360.73349904780196</v>
      </c>
      <c r="E48">
        <v>333.05608056801839</v>
      </c>
      <c r="F48">
        <v>48</v>
      </c>
      <c r="G48">
        <v>5</v>
      </c>
      <c r="H48">
        <v>20</v>
      </c>
    </row>
    <row r="49" spans="1:13" x14ac:dyDescent="0.25">
      <c r="A49" s="39" t="s">
        <v>1288</v>
      </c>
      <c r="B49" s="39">
        <v>29.52</v>
      </c>
      <c r="C49" s="39" t="s">
        <v>119</v>
      </c>
      <c r="D49" s="39">
        <v>368.79180984780197</v>
      </c>
      <c r="E49" s="39">
        <v>339.67357383255535</v>
      </c>
      <c r="F49" s="39">
        <v>49</v>
      </c>
      <c r="G49" s="39">
        <v>5</v>
      </c>
      <c r="H49" s="39">
        <v>20</v>
      </c>
      <c r="I49" s="39"/>
      <c r="J49" s="39"/>
      <c r="K49" s="39"/>
      <c r="L49" s="39"/>
      <c r="M49" s="39"/>
    </row>
    <row r="50" spans="1:13" x14ac:dyDescent="0.25">
      <c r="A50" t="s">
        <v>1289</v>
      </c>
      <c r="B50">
        <v>30.78</v>
      </c>
      <c r="C50" t="s">
        <v>32</v>
      </c>
      <c r="D50">
        <v>383.97608954012503</v>
      </c>
      <c r="E50">
        <v>354.85785352487841</v>
      </c>
      <c r="F50">
        <v>50</v>
      </c>
      <c r="G50">
        <v>1</v>
      </c>
      <c r="H50">
        <v>21</v>
      </c>
    </row>
    <row r="51" spans="1:13" x14ac:dyDescent="0.25">
      <c r="A51" s="38" t="s">
        <v>1290</v>
      </c>
      <c r="B51" s="38">
        <v>30.9</v>
      </c>
      <c r="C51" s="38" t="s">
        <v>120</v>
      </c>
      <c r="D51" s="38">
        <v>386.03440034012505</v>
      </c>
      <c r="E51" s="38">
        <v>355.47534678941537</v>
      </c>
      <c r="F51" s="38">
        <v>51</v>
      </c>
      <c r="G51" s="38">
        <v>1</v>
      </c>
      <c r="H51" s="38">
        <v>21</v>
      </c>
      <c r="I51" s="38"/>
      <c r="J51" s="38"/>
      <c r="K51" s="38"/>
      <c r="L51" s="38"/>
      <c r="M51" s="38"/>
    </row>
    <row r="52" spans="1:13" x14ac:dyDescent="0.25">
      <c r="A52" t="s">
        <v>1291</v>
      </c>
      <c r="B52">
        <v>32.159999999999997</v>
      </c>
      <c r="C52" t="s">
        <v>33</v>
      </c>
      <c r="D52">
        <v>401.21868003244811</v>
      </c>
      <c r="E52">
        <v>370.65962648173843</v>
      </c>
      <c r="F52">
        <v>52</v>
      </c>
      <c r="G52">
        <v>2</v>
      </c>
      <c r="H52">
        <v>22</v>
      </c>
    </row>
    <row r="53" spans="1:13" x14ac:dyDescent="0.25">
      <c r="A53" s="38" t="s">
        <v>1292</v>
      </c>
      <c r="B53" s="38">
        <v>32.270000000000003</v>
      </c>
      <c r="C53" s="38" t="s">
        <v>121</v>
      </c>
      <c r="D53" s="38">
        <v>403.27699083244812</v>
      </c>
      <c r="E53" s="38">
        <v>371.27711974627539</v>
      </c>
      <c r="F53" s="38">
        <v>53</v>
      </c>
      <c r="G53" s="38">
        <v>2</v>
      </c>
      <c r="H53" s="38">
        <v>22</v>
      </c>
      <c r="I53" s="38"/>
      <c r="J53" s="38"/>
      <c r="K53" s="38"/>
      <c r="L53" s="38"/>
      <c r="M53" s="38"/>
    </row>
    <row r="54" spans="1:13" x14ac:dyDescent="0.25">
      <c r="A54" t="s">
        <v>1293</v>
      </c>
      <c r="B54">
        <v>33.54</v>
      </c>
      <c r="C54" t="s">
        <v>34</v>
      </c>
      <c r="D54">
        <v>418.46127052477118</v>
      </c>
      <c r="E54">
        <v>386.46139943859845</v>
      </c>
      <c r="F54">
        <v>54</v>
      </c>
      <c r="G54">
        <v>3</v>
      </c>
      <c r="H54">
        <v>23</v>
      </c>
    </row>
    <row r="55" spans="1:13" x14ac:dyDescent="0.25">
      <c r="A55" s="38" t="s">
        <v>1294</v>
      </c>
      <c r="B55" s="38">
        <v>33.65</v>
      </c>
      <c r="C55" s="38" t="s">
        <v>122</v>
      </c>
      <c r="D55" s="38">
        <v>420.5195813247712</v>
      </c>
      <c r="E55" s="38">
        <v>387.07889270313541</v>
      </c>
      <c r="F55" s="38">
        <v>55</v>
      </c>
      <c r="G55" s="38">
        <v>3</v>
      </c>
      <c r="H55" s="38">
        <v>23</v>
      </c>
      <c r="I55" s="38"/>
      <c r="J55" s="38"/>
      <c r="K55" s="38"/>
      <c r="L55" s="38"/>
      <c r="M55" s="38"/>
    </row>
    <row r="56" spans="1:13" x14ac:dyDescent="0.25">
      <c r="A56" t="s">
        <v>1295</v>
      </c>
      <c r="B56">
        <v>34.92</v>
      </c>
      <c r="C56" t="s">
        <v>35</v>
      </c>
      <c r="D56">
        <v>435.70386101709425</v>
      </c>
      <c r="E56">
        <v>402.26317239545847</v>
      </c>
      <c r="F56">
        <v>56</v>
      </c>
      <c r="G56">
        <v>4</v>
      </c>
      <c r="H56">
        <v>24</v>
      </c>
    </row>
    <row r="57" spans="1:13" x14ac:dyDescent="0.25">
      <c r="A57" s="38" t="s">
        <v>1296</v>
      </c>
      <c r="B57" s="38">
        <v>35.03</v>
      </c>
      <c r="C57" s="38" t="s">
        <v>123</v>
      </c>
      <c r="D57" s="38">
        <v>437.76217181709427</v>
      </c>
      <c r="E57" s="38">
        <v>402.88066565999543</v>
      </c>
      <c r="F57" s="38">
        <v>57</v>
      </c>
      <c r="G57" s="38">
        <v>4</v>
      </c>
      <c r="H57" s="38">
        <v>24</v>
      </c>
      <c r="I57" s="38"/>
      <c r="J57" s="38"/>
      <c r="K57" s="38"/>
      <c r="L57" s="38"/>
      <c r="M57" s="38"/>
    </row>
    <row r="58" spans="1:13" x14ac:dyDescent="0.25">
      <c r="A58" t="s">
        <v>1297</v>
      </c>
      <c r="B58">
        <v>36.29</v>
      </c>
      <c r="C58" t="s">
        <v>36</v>
      </c>
      <c r="D58">
        <v>452.94645150941733</v>
      </c>
      <c r="E58">
        <v>418.06494535231849</v>
      </c>
      <c r="F58">
        <v>58</v>
      </c>
      <c r="G58">
        <v>5</v>
      </c>
      <c r="H58">
        <v>25</v>
      </c>
    </row>
    <row r="59" spans="1:13" x14ac:dyDescent="0.25">
      <c r="A59" s="39" t="s">
        <v>1298</v>
      </c>
      <c r="B59" s="39">
        <v>36.9</v>
      </c>
      <c r="C59" s="39" t="s">
        <v>124</v>
      </c>
      <c r="D59" s="39">
        <v>461.00476230941734</v>
      </c>
      <c r="E59" s="39">
        <v>424.68243861685545</v>
      </c>
      <c r="F59" s="39">
        <v>59</v>
      </c>
      <c r="G59" s="39">
        <v>5</v>
      </c>
      <c r="H59" s="39">
        <v>25</v>
      </c>
      <c r="I59" s="39"/>
      <c r="J59" s="39"/>
      <c r="K59" s="39"/>
      <c r="L59" s="39"/>
      <c r="M59" s="39"/>
    </row>
    <row r="60" spans="1:13" x14ac:dyDescent="0.25">
      <c r="A60" t="s">
        <v>1299</v>
      </c>
      <c r="B60">
        <v>38.17</v>
      </c>
      <c r="C60" t="s">
        <v>37</v>
      </c>
      <c r="D60">
        <v>476.1890420017404</v>
      </c>
      <c r="E60">
        <v>439.86671830917851</v>
      </c>
      <c r="F60">
        <v>60</v>
      </c>
      <c r="G60">
        <v>1</v>
      </c>
      <c r="H60">
        <v>26</v>
      </c>
    </row>
    <row r="61" spans="1:13" x14ac:dyDescent="0.25">
      <c r="A61" s="38" t="s">
        <v>1300</v>
      </c>
      <c r="B61" s="38">
        <v>38.28</v>
      </c>
      <c r="C61" s="38" t="s">
        <v>125</v>
      </c>
      <c r="D61" s="38">
        <v>478.24735280174042</v>
      </c>
      <c r="E61" s="38">
        <v>440.48421157371547</v>
      </c>
      <c r="F61" s="38">
        <v>61</v>
      </c>
      <c r="G61" s="38">
        <v>1</v>
      </c>
      <c r="H61" s="38">
        <v>26</v>
      </c>
      <c r="I61" s="38"/>
      <c r="J61" s="38"/>
      <c r="K61" s="38"/>
      <c r="L61" s="38"/>
      <c r="M61" s="38"/>
    </row>
    <row r="62" spans="1:13" x14ac:dyDescent="0.25">
      <c r="A62" t="s">
        <v>1301</v>
      </c>
      <c r="B62">
        <v>39.549999999999997</v>
      </c>
      <c r="C62" t="s">
        <v>38</v>
      </c>
      <c r="D62">
        <v>493.43163249406348</v>
      </c>
      <c r="E62">
        <v>455.66849126603853</v>
      </c>
      <c r="F62">
        <v>62</v>
      </c>
      <c r="G62">
        <v>2</v>
      </c>
      <c r="H62">
        <v>27</v>
      </c>
    </row>
    <row r="63" spans="1:13" x14ac:dyDescent="0.25">
      <c r="A63" s="38" t="s">
        <v>1302</v>
      </c>
      <c r="B63" s="38">
        <v>39.659999999999997</v>
      </c>
      <c r="C63" s="38" t="s">
        <v>126</v>
      </c>
      <c r="D63" s="38">
        <v>495.48994329406349</v>
      </c>
      <c r="E63" s="38">
        <v>456.28598453057549</v>
      </c>
      <c r="F63" s="38">
        <v>63</v>
      </c>
      <c r="G63" s="38">
        <v>2</v>
      </c>
      <c r="H63" s="38">
        <v>27</v>
      </c>
      <c r="I63" s="38"/>
      <c r="J63" s="38"/>
      <c r="K63" s="38"/>
      <c r="L63" s="38"/>
      <c r="M63" s="38"/>
    </row>
    <row r="64" spans="1:13" x14ac:dyDescent="0.25">
      <c r="A64" t="s">
        <v>1303</v>
      </c>
      <c r="B64">
        <v>40.92</v>
      </c>
      <c r="C64" t="s">
        <v>39</v>
      </c>
      <c r="D64">
        <v>510.67422298638655</v>
      </c>
      <c r="E64">
        <v>471.47026422289855</v>
      </c>
      <c r="F64">
        <v>64</v>
      </c>
      <c r="G64">
        <v>3</v>
      </c>
      <c r="H64">
        <v>28</v>
      </c>
    </row>
    <row r="65" spans="1:13" x14ac:dyDescent="0.25">
      <c r="A65" s="38" t="s">
        <v>1304</v>
      </c>
      <c r="B65" s="38">
        <v>41.03</v>
      </c>
      <c r="C65" s="38" t="s">
        <v>127</v>
      </c>
      <c r="D65" s="38">
        <v>512.73253378638651</v>
      </c>
      <c r="E65" s="38">
        <v>472.08775748743551</v>
      </c>
      <c r="F65" s="38">
        <v>65</v>
      </c>
      <c r="G65" s="38">
        <v>3</v>
      </c>
      <c r="H65" s="38">
        <v>28</v>
      </c>
      <c r="I65" s="38"/>
      <c r="J65" s="38"/>
      <c r="K65" s="38"/>
      <c r="L65" s="38"/>
      <c r="M65" s="38"/>
    </row>
    <row r="66" spans="1:13" x14ac:dyDescent="0.25">
      <c r="A66" t="s">
        <v>1305</v>
      </c>
      <c r="B66">
        <v>42.3</v>
      </c>
      <c r="C66" t="s">
        <v>40</v>
      </c>
      <c r="D66">
        <v>527.91681347870951</v>
      </c>
      <c r="E66">
        <v>487.27203717975857</v>
      </c>
      <c r="F66">
        <v>66</v>
      </c>
      <c r="G66">
        <v>4</v>
      </c>
      <c r="H66">
        <v>29</v>
      </c>
    </row>
    <row r="67" spans="1:13" x14ac:dyDescent="0.25">
      <c r="A67" s="38" t="s">
        <v>1306</v>
      </c>
      <c r="B67" s="38">
        <v>42.41</v>
      </c>
      <c r="C67" s="38" t="s">
        <v>128</v>
      </c>
      <c r="D67" s="38">
        <v>529.97512427870947</v>
      </c>
      <c r="E67" s="38">
        <v>487.88953044429553</v>
      </c>
      <c r="F67" s="38">
        <v>67</v>
      </c>
      <c r="G67" s="38">
        <v>4</v>
      </c>
      <c r="H67" s="38">
        <v>29</v>
      </c>
      <c r="I67" s="38"/>
      <c r="J67" s="38"/>
      <c r="K67" s="38"/>
      <c r="L67" s="38"/>
      <c r="M67" s="38"/>
    </row>
    <row r="68" spans="1:13" x14ac:dyDescent="0.25">
      <c r="A68" t="s">
        <v>1307</v>
      </c>
      <c r="B68">
        <v>43.68</v>
      </c>
      <c r="C68" t="s">
        <v>41</v>
      </c>
      <c r="D68">
        <v>545.15940397103248</v>
      </c>
      <c r="E68">
        <v>503.07381013661859</v>
      </c>
      <c r="F68">
        <v>68</v>
      </c>
      <c r="G68">
        <v>5</v>
      </c>
      <c r="H68">
        <v>30</v>
      </c>
    </row>
    <row r="69" spans="1:13" x14ac:dyDescent="0.25">
      <c r="A69" s="39" t="s">
        <v>1308</v>
      </c>
      <c r="B69" s="39">
        <v>44.29</v>
      </c>
      <c r="C69" s="39" t="s">
        <v>129</v>
      </c>
      <c r="D69" s="39">
        <v>553.21771477103243</v>
      </c>
      <c r="E69" s="39">
        <v>509.69130340115555</v>
      </c>
      <c r="F69" s="39">
        <v>69</v>
      </c>
      <c r="G69" s="39">
        <v>5</v>
      </c>
      <c r="H69" s="39">
        <v>30</v>
      </c>
      <c r="I69" s="39"/>
      <c r="J69" s="39"/>
      <c r="K69" s="39"/>
      <c r="L69" s="39"/>
      <c r="M69" s="39"/>
    </row>
    <row r="70" spans="1:13" x14ac:dyDescent="0.25">
      <c r="A70" t="s">
        <v>1309</v>
      </c>
      <c r="B70">
        <v>45.55</v>
      </c>
      <c r="C70" t="s">
        <v>42</v>
      </c>
      <c r="D70">
        <v>568.40199446335544</v>
      </c>
      <c r="E70">
        <v>524.87558309347855</v>
      </c>
      <c r="F70">
        <v>70</v>
      </c>
      <c r="G70">
        <v>1</v>
      </c>
      <c r="H70">
        <v>31</v>
      </c>
    </row>
    <row r="71" spans="1:13" x14ac:dyDescent="0.25">
      <c r="A71" s="38" t="s">
        <v>1310</v>
      </c>
      <c r="B71" s="38">
        <v>45.66</v>
      </c>
      <c r="C71" s="38" t="s">
        <v>130</v>
      </c>
      <c r="D71" s="38">
        <v>570.46030526335539</v>
      </c>
      <c r="E71" s="38">
        <v>525.49307635801551</v>
      </c>
      <c r="F71" s="38">
        <v>71</v>
      </c>
      <c r="G71" s="38">
        <v>1</v>
      </c>
      <c r="H71" s="38">
        <v>31</v>
      </c>
      <c r="I71" s="38"/>
      <c r="J71" s="38"/>
      <c r="K71" s="38"/>
      <c r="L71" s="38"/>
      <c r="M71" s="38"/>
    </row>
    <row r="72" spans="1:13" x14ac:dyDescent="0.25">
      <c r="A72" t="s">
        <v>1311</v>
      </c>
      <c r="B72">
        <v>46.93</v>
      </c>
      <c r="C72" t="s">
        <v>43</v>
      </c>
      <c r="D72">
        <v>585.6445849556784</v>
      </c>
      <c r="E72">
        <v>540.67735605033852</v>
      </c>
      <c r="F72">
        <v>72</v>
      </c>
      <c r="G72">
        <v>2</v>
      </c>
      <c r="H72">
        <v>32</v>
      </c>
    </row>
    <row r="73" spans="1:13" x14ac:dyDescent="0.25">
      <c r="A73" s="38" t="s">
        <v>1312</v>
      </c>
      <c r="B73" s="38">
        <v>47.04</v>
      </c>
      <c r="C73" s="38" t="s">
        <v>131</v>
      </c>
      <c r="D73" s="38">
        <v>587.70289575567836</v>
      </c>
      <c r="E73" s="38">
        <v>541.29484931487548</v>
      </c>
      <c r="F73" s="38">
        <v>73</v>
      </c>
      <c r="G73" s="38">
        <v>2</v>
      </c>
      <c r="H73" s="38">
        <v>32</v>
      </c>
      <c r="I73" s="38"/>
      <c r="J73" s="38"/>
      <c r="K73" s="38"/>
      <c r="L73" s="38"/>
      <c r="M73" s="38"/>
    </row>
    <row r="74" spans="1:13" x14ac:dyDescent="0.25">
      <c r="A74" t="s">
        <v>1313</v>
      </c>
      <c r="B74">
        <v>48.31</v>
      </c>
      <c r="C74" t="s">
        <v>44</v>
      </c>
      <c r="D74">
        <v>602.88717544800136</v>
      </c>
      <c r="E74">
        <v>556.47912900719848</v>
      </c>
      <c r="F74">
        <v>74</v>
      </c>
      <c r="G74">
        <v>3</v>
      </c>
      <c r="H74">
        <v>33</v>
      </c>
    </row>
    <row r="75" spans="1:13" x14ac:dyDescent="0.25">
      <c r="A75" s="38" t="s">
        <v>1314</v>
      </c>
      <c r="B75" s="38">
        <v>48.42</v>
      </c>
      <c r="C75" s="38" t="s">
        <v>132</v>
      </c>
      <c r="D75" s="38">
        <v>604.94548624800132</v>
      </c>
      <c r="E75" s="38">
        <v>557.09662227173544</v>
      </c>
      <c r="F75" s="38">
        <v>75</v>
      </c>
      <c r="G75" s="38">
        <v>3</v>
      </c>
      <c r="H75" s="38">
        <v>33</v>
      </c>
      <c r="I75" s="38"/>
      <c r="J75" s="38"/>
      <c r="K75" s="38"/>
      <c r="L75" s="38"/>
      <c r="M75" s="38"/>
    </row>
    <row r="76" spans="1:13" x14ac:dyDescent="0.25">
      <c r="A76" t="s">
        <v>1315</v>
      </c>
      <c r="B76">
        <v>49.68</v>
      </c>
      <c r="C76" t="s">
        <v>45</v>
      </c>
      <c r="D76">
        <v>620.12976594032432</v>
      </c>
      <c r="E76">
        <v>572.28090196405844</v>
      </c>
      <c r="F76">
        <v>76</v>
      </c>
      <c r="G76">
        <v>4</v>
      </c>
      <c r="H76">
        <v>34</v>
      </c>
    </row>
    <row r="77" spans="1:13" x14ac:dyDescent="0.25">
      <c r="A77" s="38" t="s">
        <v>1316</v>
      </c>
      <c r="B77" s="38">
        <v>49.8</v>
      </c>
      <c r="C77" s="38" t="s">
        <v>133</v>
      </c>
      <c r="D77" s="38">
        <v>622.18807674032428</v>
      </c>
      <c r="E77" s="38">
        <v>572.8983952285954</v>
      </c>
      <c r="F77" s="38">
        <v>77</v>
      </c>
      <c r="G77" s="38">
        <v>4</v>
      </c>
      <c r="H77" s="38">
        <v>34</v>
      </c>
      <c r="I77" s="38"/>
      <c r="J77" s="38"/>
      <c r="K77" s="38"/>
      <c r="L77" s="38"/>
      <c r="M77" s="38"/>
    </row>
    <row r="78" spans="1:13" x14ac:dyDescent="0.25">
      <c r="A78" t="s">
        <v>1317</v>
      </c>
      <c r="B78">
        <v>51.06</v>
      </c>
      <c r="C78" t="s">
        <v>46</v>
      </c>
      <c r="D78">
        <v>637.37235643264728</v>
      </c>
      <c r="E78">
        <v>588.08267492091841</v>
      </c>
      <c r="F78">
        <v>78</v>
      </c>
      <c r="G78">
        <v>5</v>
      </c>
      <c r="H78">
        <v>35</v>
      </c>
    </row>
    <row r="79" spans="1:13" x14ac:dyDescent="0.25">
      <c r="A79" s="39" t="s">
        <v>1318</v>
      </c>
      <c r="B79" s="39">
        <v>51.67</v>
      </c>
      <c r="C79" s="39" t="s">
        <v>134</v>
      </c>
      <c r="D79" s="39">
        <v>645.43066723264724</v>
      </c>
      <c r="E79" s="39">
        <v>594.70016818545537</v>
      </c>
      <c r="F79" s="39">
        <v>79</v>
      </c>
      <c r="G79" s="39">
        <v>5</v>
      </c>
      <c r="H79" s="39">
        <v>35</v>
      </c>
      <c r="I79" s="39"/>
      <c r="J79" s="39"/>
      <c r="K79" s="39"/>
      <c r="L79" s="39"/>
      <c r="M79" s="39"/>
    </row>
    <row r="80" spans="1:13" x14ac:dyDescent="0.25">
      <c r="A80" t="s">
        <v>1319</v>
      </c>
      <c r="B80">
        <v>52.94</v>
      </c>
      <c r="C80" t="s">
        <v>47</v>
      </c>
      <c r="D80">
        <v>660.61494692497024</v>
      </c>
      <c r="E80">
        <v>609.88444787777837</v>
      </c>
      <c r="F80">
        <v>80</v>
      </c>
      <c r="G80">
        <v>1</v>
      </c>
      <c r="H80">
        <v>36</v>
      </c>
    </row>
    <row r="81" spans="1:13" x14ac:dyDescent="0.25">
      <c r="A81" s="38" t="s">
        <v>1320</v>
      </c>
      <c r="B81" s="38">
        <v>53.05</v>
      </c>
      <c r="C81" s="38" t="s">
        <v>135</v>
      </c>
      <c r="D81" s="38">
        <v>662.6732577249702</v>
      </c>
      <c r="E81" s="38">
        <v>610.50194114231533</v>
      </c>
      <c r="F81" s="38">
        <v>81</v>
      </c>
      <c r="G81" s="38">
        <v>1</v>
      </c>
      <c r="H81" s="38">
        <v>36</v>
      </c>
      <c r="I81" s="38"/>
      <c r="J81" s="38"/>
      <c r="K81" s="38"/>
      <c r="L81" s="38"/>
      <c r="M81" s="38"/>
    </row>
    <row r="82" spans="1:13" x14ac:dyDescent="0.25">
      <c r="A82" t="s">
        <v>1321</v>
      </c>
      <c r="B82">
        <v>54.31</v>
      </c>
      <c r="C82" t="s">
        <v>48</v>
      </c>
      <c r="D82">
        <v>677.8575374172932</v>
      </c>
      <c r="E82">
        <v>625.68622083463833</v>
      </c>
      <c r="F82">
        <v>82</v>
      </c>
      <c r="G82">
        <v>2</v>
      </c>
      <c r="H82">
        <v>37</v>
      </c>
    </row>
    <row r="83" spans="1:13" x14ac:dyDescent="0.25">
      <c r="A83" s="38" t="s">
        <v>1322</v>
      </c>
      <c r="B83" s="38">
        <v>54.43</v>
      </c>
      <c r="C83" s="38" t="s">
        <v>136</v>
      </c>
      <c r="D83" s="38">
        <v>679.91584821729316</v>
      </c>
      <c r="E83" s="38">
        <v>626.30371409917529</v>
      </c>
      <c r="F83" s="38">
        <v>83</v>
      </c>
      <c r="G83" s="38">
        <v>2</v>
      </c>
      <c r="H83" s="38">
        <v>37</v>
      </c>
      <c r="I83" s="38"/>
      <c r="J83" s="38"/>
      <c r="K83" s="38"/>
      <c r="L83" s="38"/>
      <c r="M83" s="38"/>
    </row>
    <row r="84" spans="1:13" x14ac:dyDescent="0.25">
      <c r="A84" t="s">
        <v>1323</v>
      </c>
      <c r="B84">
        <v>55.69</v>
      </c>
      <c r="C84" t="s">
        <v>49</v>
      </c>
      <c r="D84">
        <v>695.10012790961616</v>
      </c>
      <c r="E84">
        <v>641.4879937914983</v>
      </c>
      <c r="F84">
        <v>84</v>
      </c>
      <c r="G84">
        <v>3</v>
      </c>
      <c r="H84">
        <v>38</v>
      </c>
    </row>
    <row r="85" spans="1:13" x14ac:dyDescent="0.25">
      <c r="A85" s="38" t="s">
        <v>1324</v>
      </c>
      <c r="B85" s="38">
        <v>55.8</v>
      </c>
      <c r="C85" s="38" t="s">
        <v>137</v>
      </c>
      <c r="D85" s="38">
        <v>697.15843870961612</v>
      </c>
      <c r="E85" s="38">
        <v>642.10548705603526</v>
      </c>
      <c r="F85" s="38">
        <v>85</v>
      </c>
      <c r="G85" s="38">
        <v>3</v>
      </c>
      <c r="H85" s="38">
        <v>38</v>
      </c>
      <c r="I85" s="38"/>
      <c r="J85" s="38"/>
      <c r="K85" s="38"/>
      <c r="L85" s="38"/>
      <c r="M85" s="38"/>
    </row>
    <row r="86" spans="1:13" x14ac:dyDescent="0.25">
      <c r="A86" t="s">
        <v>1325</v>
      </c>
      <c r="B86">
        <v>57.07</v>
      </c>
      <c r="C86" t="s">
        <v>50</v>
      </c>
      <c r="D86">
        <v>712.34271840193912</v>
      </c>
      <c r="E86">
        <v>657.28976674835826</v>
      </c>
      <c r="F86">
        <v>86</v>
      </c>
      <c r="G86">
        <v>4</v>
      </c>
      <c r="H86">
        <v>39</v>
      </c>
    </row>
    <row r="87" spans="1:13" x14ac:dyDescent="0.25">
      <c r="A87" s="38" t="s">
        <v>1326</v>
      </c>
      <c r="B87" s="38">
        <v>57.18</v>
      </c>
      <c r="C87" s="38" t="s">
        <v>138</v>
      </c>
      <c r="D87" s="38">
        <v>714.40102920193908</v>
      </c>
      <c r="E87" s="38">
        <v>657.90726001289522</v>
      </c>
      <c r="F87" s="38">
        <v>87</v>
      </c>
      <c r="G87" s="38">
        <v>4</v>
      </c>
      <c r="H87" s="38">
        <v>39</v>
      </c>
      <c r="I87" s="38"/>
      <c r="J87" s="38"/>
      <c r="K87" s="38"/>
      <c r="L87" s="38"/>
      <c r="M87" s="38"/>
    </row>
    <row r="88" spans="1:13" x14ac:dyDescent="0.25">
      <c r="A88" t="s">
        <v>1327</v>
      </c>
      <c r="B88">
        <v>58.44</v>
      </c>
      <c r="C88" t="s">
        <v>51</v>
      </c>
      <c r="D88">
        <v>729.58530889426208</v>
      </c>
      <c r="E88">
        <v>673.09153970521822</v>
      </c>
      <c r="F88">
        <v>88</v>
      </c>
      <c r="G88">
        <v>5</v>
      </c>
      <c r="H88">
        <v>40</v>
      </c>
    </row>
    <row r="89" spans="1:13" x14ac:dyDescent="0.25">
      <c r="A89" s="39" t="s">
        <v>1328</v>
      </c>
      <c r="B89" s="39">
        <v>59.06</v>
      </c>
      <c r="C89" s="39" t="s">
        <v>139</v>
      </c>
      <c r="D89" s="39">
        <v>737.64361969426204</v>
      </c>
      <c r="E89" s="39">
        <v>679.70903296975519</v>
      </c>
      <c r="F89" s="39">
        <v>89</v>
      </c>
      <c r="G89" s="39">
        <v>5</v>
      </c>
      <c r="H89" s="39">
        <v>40</v>
      </c>
      <c r="I89" s="39"/>
      <c r="J89" s="39"/>
      <c r="K89" s="39"/>
      <c r="L89" s="39"/>
      <c r="M89" s="39"/>
    </row>
    <row r="90" spans="1:13" x14ac:dyDescent="0.25">
      <c r="A90" t="s">
        <v>1329</v>
      </c>
      <c r="B90">
        <v>60.32</v>
      </c>
      <c r="C90" t="s">
        <v>52</v>
      </c>
      <c r="D90">
        <v>752.82789938658505</v>
      </c>
      <c r="E90">
        <v>694.89331266207819</v>
      </c>
      <c r="F90">
        <v>90</v>
      </c>
      <c r="G90">
        <v>1</v>
      </c>
      <c r="H90">
        <v>41</v>
      </c>
    </row>
    <row r="91" spans="1:13" x14ac:dyDescent="0.25">
      <c r="A91" s="38" t="s">
        <v>1330</v>
      </c>
      <c r="B91" s="38">
        <v>60.43</v>
      </c>
      <c r="C91" s="38" t="s">
        <v>140</v>
      </c>
      <c r="D91" s="38">
        <v>754.886210186585</v>
      </c>
      <c r="E91" s="38">
        <v>695.51080592661515</v>
      </c>
      <c r="F91" s="38">
        <v>91</v>
      </c>
      <c r="G91" s="38">
        <v>1</v>
      </c>
      <c r="H91" s="38">
        <v>41</v>
      </c>
      <c r="I91" s="38"/>
      <c r="J91" s="38"/>
      <c r="K91" s="38"/>
      <c r="L91" s="38"/>
      <c r="M91" s="38"/>
    </row>
    <row r="92" spans="1:13" x14ac:dyDescent="0.25">
      <c r="A92" t="s">
        <v>1331</v>
      </c>
      <c r="B92">
        <v>61.7</v>
      </c>
      <c r="C92" t="s">
        <v>53</v>
      </c>
      <c r="D92">
        <v>770.07048987890801</v>
      </c>
      <c r="E92">
        <v>710.69508561893815</v>
      </c>
      <c r="F92">
        <v>92</v>
      </c>
      <c r="G92">
        <v>2</v>
      </c>
      <c r="H92">
        <v>42</v>
      </c>
    </row>
    <row r="93" spans="1:13" x14ac:dyDescent="0.25">
      <c r="A93" s="38" t="s">
        <v>1332</v>
      </c>
      <c r="B93" s="38">
        <v>61.81</v>
      </c>
      <c r="C93" s="38" t="s">
        <v>141</v>
      </c>
      <c r="D93" s="38">
        <v>772.12880067890796</v>
      </c>
      <c r="E93" s="38">
        <v>711.31257888347511</v>
      </c>
      <c r="F93" s="38">
        <v>93</v>
      </c>
      <c r="G93" s="38">
        <v>2</v>
      </c>
      <c r="H93" s="38">
        <v>42</v>
      </c>
      <c r="I93" s="38"/>
      <c r="J93" s="38"/>
      <c r="K93" s="38"/>
      <c r="L93" s="38"/>
      <c r="M93" s="38"/>
    </row>
    <row r="94" spans="1:13" x14ac:dyDescent="0.25">
      <c r="A94" t="s">
        <v>1333</v>
      </c>
      <c r="B94">
        <v>63.08</v>
      </c>
      <c r="C94" t="s">
        <v>54</v>
      </c>
      <c r="D94">
        <v>787.31308037123097</v>
      </c>
      <c r="E94">
        <v>726.49685857579811</v>
      </c>
      <c r="F94">
        <v>94</v>
      </c>
      <c r="G94">
        <v>3</v>
      </c>
      <c r="H94">
        <v>43</v>
      </c>
    </row>
    <row r="95" spans="1:13" x14ac:dyDescent="0.25">
      <c r="A95" s="38" t="s">
        <v>1334</v>
      </c>
      <c r="B95" s="38">
        <v>63.19</v>
      </c>
      <c r="C95" s="38" t="s">
        <v>142</v>
      </c>
      <c r="D95" s="38">
        <v>789.37139117123093</v>
      </c>
      <c r="E95" s="38">
        <v>727.11435184033508</v>
      </c>
      <c r="F95" s="38">
        <v>95</v>
      </c>
      <c r="G95" s="38">
        <v>3</v>
      </c>
      <c r="H95" s="38">
        <v>43</v>
      </c>
      <c r="I95" s="38"/>
      <c r="J95" s="38"/>
      <c r="K95" s="38"/>
      <c r="L95" s="38"/>
      <c r="M95" s="38"/>
    </row>
    <row r="96" spans="1:13" x14ac:dyDescent="0.25">
      <c r="A96" t="s">
        <v>1335</v>
      </c>
      <c r="B96">
        <v>64.45</v>
      </c>
      <c r="C96" t="s">
        <v>55</v>
      </c>
      <c r="D96">
        <v>804.55567086355393</v>
      </c>
      <c r="E96">
        <v>742.29863153265808</v>
      </c>
      <c r="F96">
        <v>96</v>
      </c>
      <c r="G96">
        <v>4</v>
      </c>
      <c r="H96">
        <v>44</v>
      </c>
    </row>
    <row r="97" spans="1:13" x14ac:dyDescent="0.25">
      <c r="A97" s="38" t="s">
        <v>1336</v>
      </c>
      <c r="B97" s="38">
        <v>64.56</v>
      </c>
      <c r="C97" s="38" t="s">
        <v>143</v>
      </c>
      <c r="D97" s="38">
        <v>806.61398166355389</v>
      </c>
      <c r="E97" s="38">
        <v>742.91612479719504</v>
      </c>
      <c r="F97" s="38">
        <v>97</v>
      </c>
      <c r="G97" s="38">
        <v>4</v>
      </c>
      <c r="H97" s="38">
        <v>44</v>
      </c>
      <c r="I97" s="38"/>
      <c r="J97" s="38"/>
      <c r="K97" s="38"/>
      <c r="L97" s="38"/>
      <c r="M97" s="38"/>
    </row>
    <row r="98" spans="1:13" x14ac:dyDescent="0.25">
      <c r="A98" t="s">
        <v>1337</v>
      </c>
      <c r="B98">
        <v>65.83</v>
      </c>
      <c r="C98" t="s">
        <v>56</v>
      </c>
      <c r="D98">
        <v>821.79826135587689</v>
      </c>
      <c r="E98">
        <v>758.10040448951804</v>
      </c>
      <c r="F98">
        <v>98</v>
      </c>
      <c r="G98">
        <v>5</v>
      </c>
      <c r="H98">
        <v>45</v>
      </c>
    </row>
    <row r="99" spans="1:13" x14ac:dyDescent="0.25">
      <c r="A99" s="39" t="s">
        <v>1338</v>
      </c>
      <c r="B99" s="39">
        <v>66.44</v>
      </c>
      <c r="C99" s="39" t="s">
        <v>144</v>
      </c>
      <c r="D99" s="39">
        <v>829.85657215587685</v>
      </c>
      <c r="E99" s="39">
        <v>764.717897754055</v>
      </c>
      <c r="F99" s="39">
        <v>99</v>
      </c>
      <c r="G99" s="39">
        <v>5</v>
      </c>
      <c r="H99" s="39">
        <v>45</v>
      </c>
      <c r="I99" s="39"/>
      <c r="J99" s="39"/>
      <c r="K99" s="39"/>
      <c r="L99" s="39"/>
      <c r="M99" s="39"/>
    </row>
    <row r="100" spans="1:13" x14ac:dyDescent="0.25">
      <c r="A100" t="s">
        <v>19</v>
      </c>
    </row>
    <row r="101" spans="1:13" x14ac:dyDescent="0.25">
      <c r="A101" t="s">
        <v>375</v>
      </c>
    </row>
    <row r="102" spans="1:13" x14ac:dyDescent="0.25">
      <c r="A102" t="s">
        <v>376</v>
      </c>
    </row>
    <row r="103" spans="1:13" x14ac:dyDescent="0.25">
      <c r="A103" t="s">
        <v>1249</v>
      </c>
    </row>
    <row r="104" spans="1:13" x14ac:dyDescent="0.25">
      <c r="A104" s="38" t="s">
        <v>1250</v>
      </c>
    </row>
    <row r="105" spans="1:13" x14ac:dyDescent="0.25">
      <c r="A105" t="s">
        <v>1251</v>
      </c>
    </row>
    <row r="106" spans="1:13" x14ac:dyDescent="0.25">
      <c r="A106" s="38" t="s">
        <v>1252</v>
      </c>
    </row>
    <row r="107" spans="1:13" x14ac:dyDescent="0.25">
      <c r="A107" t="s">
        <v>1253</v>
      </c>
    </row>
    <row r="108" spans="1:13" x14ac:dyDescent="0.25">
      <c r="A108" s="38" t="s">
        <v>1254</v>
      </c>
    </row>
    <row r="109" spans="1:13" x14ac:dyDescent="0.25">
      <c r="A109" t="s">
        <v>1255</v>
      </c>
    </row>
    <row r="110" spans="1:13" x14ac:dyDescent="0.25">
      <c r="A110" s="38" t="s">
        <v>1256</v>
      </c>
    </row>
    <row r="111" spans="1:13" x14ac:dyDescent="0.25">
      <c r="A111" t="s">
        <v>1257</v>
      </c>
    </row>
    <row r="112" spans="1:13" x14ac:dyDescent="0.25">
      <c r="A112" s="39" t="s">
        <v>1258</v>
      </c>
    </row>
    <row r="113" spans="1:1" x14ac:dyDescent="0.25">
      <c r="A113" t="s">
        <v>1259</v>
      </c>
    </row>
    <row r="114" spans="1:1" x14ac:dyDescent="0.25">
      <c r="A114" s="38" t="s">
        <v>1260</v>
      </c>
    </row>
    <row r="115" spans="1:1" x14ac:dyDescent="0.25">
      <c r="A115" t="s">
        <v>1261</v>
      </c>
    </row>
    <row r="116" spans="1:1" x14ac:dyDescent="0.25">
      <c r="A116" s="38" t="s">
        <v>1262</v>
      </c>
    </row>
    <row r="117" spans="1:1" x14ac:dyDescent="0.25">
      <c r="A117" t="s">
        <v>1263</v>
      </c>
    </row>
    <row r="118" spans="1:1" x14ac:dyDescent="0.25">
      <c r="A118" s="38" t="s">
        <v>1264</v>
      </c>
    </row>
    <row r="119" spans="1:1" x14ac:dyDescent="0.25">
      <c r="A119" t="s">
        <v>1265</v>
      </c>
    </row>
    <row r="120" spans="1:1" x14ac:dyDescent="0.25">
      <c r="A120" s="38" t="s">
        <v>1266</v>
      </c>
    </row>
    <row r="121" spans="1:1" x14ac:dyDescent="0.25">
      <c r="A121" t="s">
        <v>1267</v>
      </c>
    </row>
    <row r="122" spans="1:1" x14ac:dyDescent="0.25">
      <c r="A122" s="39" t="s">
        <v>1268</v>
      </c>
    </row>
    <row r="123" spans="1:1" x14ac:dyDescent="0.25">
      <c r="A123" t="s">
        <v>1269</v>
      </c>
    </row>
    <row r="124" spans="1:1" x14ac:dyDescent="0.25">
      <c r="A124" s="38" t="s">
        <v>1270</v>
      </c>
    </row>
    <row r="125" spans="1:1" x14ac:dyDescent="0.25">
      <c r="A125" t="s">
        <v>1271</v>
      </c>
    </row>
    <row r="126" spans="1:1" x14ac:dyDescent="0.25">
      <c r="A126" s="38" t="s">
        <v>1272</v>
      </c>
    </row>
    <row r="127" spans="1:1" x14ac:dyDescent="0.25">
      <c r="A127" t="s">
        <v>1273</v>
      </c>
    </row>
    <row r="128" spans="1:1" x14ac:dyDescent="0.25">
      <c r="A128" s="38" t="s">
        <v>1274</v>
      </c>
    </row>
    <row r="129" spans="1:1" x14ac:dyDescent="0.25">
      <c r="A129" t="s">
        <v>1275</v>
      </c>
    </row>
    <row r="130" spans="1:1" x14ac:dyDescent="0.25">
      <c r="A130" s="38" t="s">
        <v>1276</v>
      </c>
    </row>
    <row r="131" spans="1:1" x14ac:dyDescent="0.25">
      <c r="A131" t="s">
        <v>1277</v>
      </c>
    </row>
    <row r="132" spans="1:1" x14ac:dyDescent="0.25">
      <c r="A132" s="39" t="s">
        <v>1278</v>
      </c>
    </row>
    <row r="133" spans="1:1" x14ac:dyDescent="0.25">
      <c r="A133" t="s">
        <v>1279</v>
      </c>
    </row>
    <row r="134" spans="1:1" x14ac:dyDescent="0.25">
      <c r="A134" s="38" t="s">
        <v>1280</v>
      </c>
    </row>
    <row r="135" spans="1:1" x14ac:dyDescent="0.25">
      <c r="A135" t="s">
        <v>1281</v>
      </c>
    </row>
    <row r="136" spans="1:1" x14ac:dyDescent="0.25">
      <c r="A136" s="38" t="s">
        <v>1282</v>
      </c>
    </row>
    <row r="137" spans="1:1" x14ac:dyDescent="0.25">
      <c r="A137" t="s">
        <v>1283</v>
      </c>
    </row>
    <row r="138" spans="1:1" x14ac:dyDescent="0.25">
      <c r="A138" s="38" t="s">
        <v>1284</v>
      </c>
    </row>
    <row r="139" spans="1:1" x14ac:dyDescent="0.25">
      <c r="A139" t="s">
        <v>1285</v>
      </c>
    </row>
    <row r="140" spans="1:1" x14ac:dyDescent="0.25">
      <c r="A140" s="38" t="s">
        <v>1286</v>
      </c>
    </row>
    <row r="141" spans="1:1" x14ac:dyDescent="0.25">
      <c r="A141" t="s">
        <v>1287</v>
      </c>
    </row>
    <row r="142" spans="1:1" x14ac:dyDescent="0.25">
      <c r="A142" s="39" t="s">
        <v>1288</v>
      </c>
    </row>
    <row r="143" spans="1:1" x14ac:dyDescent="0.25">
      <c r="A143" t="s">
        <v>1289</v>
      </c>
    </row>
    <row r="144" spans="1:1" x14ac:dyDescent="0.25">
      <c r="A144" s="38" t="s">
        <v>1290</v>
      </c>
    </row>
    <row r="145" spans="1:1" x14ac:dyDescent="0.25">
      <c r="A145" t="s">
        <v>1291</v>
      </c>
    </row>
    <row r="146" spans="1:1" x14ac:dyDescent="0.25">
      <c r="A146" s="38" t="s">
        <v>1292</v>
      </c>
    </row>
    <row r="147" spans="1:1" x14ac:dyDescent="0.25">
      <c r="A147" t="s">
        <v>1293</v>
      </c>
    </row>
    <row r="148" spans="1:1" x14ac:dyDescent="0.25">
      <c r="A148" s="38" t="s">
        <v>1294</v>
      </c>
    </row>
    <row r="149" spans="1:1" x14ac:dyDescent="0.25">
      <c r="A149" t="s">
        <v>1295</v>
      </c>
    </row>
    <row r="150" spans="1:1" x14ac:dyDescent="0.25">
      <c r="A150" s="38" t="s">
        <v>1296</v>
      </c>
    </row>
    <row r="151" spans="1:1" x14ac:dyDescent="0.25">
      <c r="A151" t="s">
        <v>1297</v>
      </c>
    </row>
    <row r="152" spans="1:1" x14ac:dyDescent="0.25">
      <c r="A152" s="39" t="s">
        <v>1298</v>
      </c>
    </row>
    <row r="153" spans="1:1" x14ac:dyDescent="0.25">
      <c r="A153" t="s">
        <v>1299</v>
      </c>
    </row>
    <row r="154" spans="1:1" x14ac:dyDescent="0.25">
      <c r="A154" s="38" t="s">
        <v>1300</v>
      </c>
    </row>
    <row r="155" spans="1:1" x14ac:dyDescent="0.25">
      <c r="A155" t="s">
        <v>1301</v>
      </c>
    </row>
    <row r="156" spans="1:1" x14ac:dyDescent="0.25">
      <c r="A156" s="38" t="s">
        <v>1302</v>
      </c>
    </row>
    <row r="157" spans="1:1" x14ac:dyDescent="0.25">
      <c r="A157" t="s">
        <v>1303</v>
      </c>
    </row>
    <row r="158" spans="1:1" x14ac:dyDescent="0.25">
      <c r="A158" s="38" t="s">
        <v>1304</v>
      </c>
    </row>
    <row r="159" spans="1:1" x14ac:dyDescent="0.25">
      <c r="A159" t="s">
        <v>1305</v>
      </c>
    </row>
    <row r="160" spans="1:1" x14ac:dyDescent="0.25">
      <c r="A160" s="38" t="s">
        <v>1306</v>
      </c>
    </row>
    <row r="161" spans="1:1" x14ac:dyDescent="0.25">
      <c r="A161" t="s">
        <v>1307</v>
      </c>
    </row>
    <row r="162" spans="1:1" x14ac:dyDescent="0.25">
      <c r="A162" s="39" t="s">
        <v>1308</v>
      </c>
    </row>
    <row r="163" spans="1:1" x14ac:dyDescent="0.25">
      <c r="A163" t="s">
        <v>1309</v>
      </c>
    </row>
    <row r="164" spans="1:1" x14ac:dyDescent="0.25">
      <c r="A164" s="38" t="s">
        <v>1310</v>
      </c>
    </row>
    <row r="165" spans="1:1" x14ac:dyDescent="0.25">
      <c r="A165" t="s">
        <v>1311</v>
      </c>
    </row>
    <row r="166" spans="1:1" x14ac:dyDescent="0.25">
      <c r="A166" s="38" t="s">
        <v>1312</v>
      </c>
    </row>
    <row r="167" spans="1:1" x14ac:dyDescent="0.25">
      <c r="A167" t="s">
        <v>1313</v>
      </c>
    </row>
    <row r="168" spans="1:1" x14ac:dyDescent="0.25">
      <c r="A168" s="38" t="s">
        <v>1314</v>
      </c>
    </row>
    <row r="169" spans="1:1" x14ac:dyDescent="0.25">
      <c r="A169" t="s">
        <v>1315</v>
      </c>
    </row>
    <row r="170" spans="1:1" x14ac:dyDescent="0.25">
      <c r="A170" s="38" t="s">
        <v>1316</v>
      </c>
    </row>
    <row r="171" spans="1:1" x14ac:dyDescent="0.25">
      <c r="A171" t="s">
        <v>1317</v>
      </c>
    </row>
    <row r="172" spans="1:1" x14ac:dyDescent="0.25">
      <c r="A172" s="39" t="s">
        <v>1318</v>
      </c>
    </row>
    <row r="173" spans="1:1" x14ac:dyDescent="0.25">
      <c r="A173" t="s">
        <v>1319</v>
      </c>
    </row>
    <row r="174" spans="1:1" x14ac:dyDescent="0.25">
      <c r="A174" s="38" t="s">
        <v>1320</v>
      </c>
    </row>
    <row r="175" spans="1:1" x14ac:dyDescent="0.25">
      <c r="A175" t="s">
        <v>1321</v>
      </c>
    </row>
    <row r="176" spans="1:1" x14ac:dyDescent="0.25">
      <c r="A176" s="38" t="s">
        <v>1322</v>
      </c>
    </row>
    <row r="177" spans="1:1" x14ac:dyDescent="0.25">
      <c r="A177" t="s">
        <v>1323</v>
      </c>
    </row>
    <row r="178" spans="1:1" x14ac:dyDescent="0.25">
      <c r="A178" s="38" t="s">
        <v>1324</v>
      </c>
    </row>
    <row r="179" spans="1:1" x14ac:dyDescent="0.25">
      <c r="A179" t="s">
        <v>1325</v>
      </c>
    </row>
    <row r="180" spans="1:1" x14ac:dyDescent="0.25">
      <c r="A180" s="38" t="s">
        <v>1326</v>
      </c>
    </row>
    <row r="181" spans="1:1" x14ac:dyDescent="0.25">
      <c r="A181" t="s">
        <v>1327</v>
      </c>
    </row>
    <row r="182" spans="1:1" x14ac:dyDescent="0.25">
      <c r="A182" s="39" t="s">
        <v>1328</v>
      </c>
    </row>
    <row r="183" spans="1:1" x14ac:dyDescent="0.25">
      <c r="A183" t="s">
        <v>1329</v>
      </c>
    </row>
    <row r="184" spans="1:1" x14ac:dyDescent="0.25">
      <c r="A184" s="38" t="s">
        <v>1330</v>
      </c>
    </row>
    <row r="185" spans="1:1" x14ac:dyDescent="0.25">
      <c r="A185" t="s">
        <v>1331</v>
      </c>
    </row>
    <row r="186" spans="1:1" x14ac:dyDescent="0.25">
      <c r="A186" s="38" t="s">
        <v>1332</v>
      </c>
    </row>
    <row r="187" spans="1:1" x14ac:dyDescent="0.25">
      <c r="A187" t="s">
        <v>1333</v>
      </c>
    </row>
    <row r="188" spans="1:1" x14ac:dyDescent="0.25">
      <c r="A188" s="38" t="s">
        <v>1334</v>
      </c>
    </row>
    <row r="189" spans="1:1" x14ac:dyDescent="0.25">
      <c r="A189" t="s">
        <v>1335</v>
      </c>
    </row>
    <row r="190" spans="1:1" x14ac:dyDescent="0.25">
      <c r="A190" s="38" t="s">
        <v>1336</v>
      </c>
    </row>
    <row r="191" spans="1:1" x14ac:dyDescent="0.25">
      <c r="A191" t="s">
        <v>1337</v>
      </c>
    </row>
    <row r="192" spans="1:1" x14ac:dyDescent="0.25">
      <c r="A192" s="39" t="s">
        <v>1338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or">
                <anchor moveWithCells="1" sizeWithCells="1">
                  <from>
                    <xdr:col>10</xdr:col>
                    <xdr:colOff>85725</xdr:colOff>
                    <xdr:row>4</xdr:row>
                    <xdr:rowOff>38100</xdr:rowOff>
                  </from>
                  <to>
                    <xdr:col>11</xdr:col>
                    <xdr:colOff>1152525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rase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1066800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3" </vt:lpstr>
      <vt:lpstr>Sheet2</vt:lpstr>
      <vt:lpstr>4"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Waruru</dc:creator>
  <cp:lastModifiedBy>Derrick Miller</cp:lastModifiedBy>
  <dcterms:created xsi:type="dcterms:W3CDTF">2018-06-01T16:04:19Z</dcterms:created>
  <dcterms:modified xsi:type="dcterms:W3CDTF">2018-06-11T18:53:41Z</dcterms:modified>
</cp:coreProperties>
</file>